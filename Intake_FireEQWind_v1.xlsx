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05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Threshold</t>
        </is>
      </c>
      <c r="U11" s="6" t="inlineStr">
        <is>
          <t>Date format</t>
        </is>
      </c>
      <c r="V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N13" s="6" t="inlineStr">
        <is>
          <t>Section</t>
        </is>
      </c>
      <c r="O13" s="6" t="inlineStr">
        <is>
          <t>Currency</t>
        </is>
      </c>
      <c r="P13" s="6" t="inlineStr">
        <is>
          <t>Scale</t>
        </is>
      </c>
      <c r="Q13" s="6" t="inlineStr">
        <is>
          <t>Share basis</t>
        </is>
      </c>
      <c r="R13" s="6" t="inlineStr">
        <is>
          <t>Year basis</t>
        </is>
      </c>
      <c r="S13" s="6" t="inlineStr">
        <is>
          <t>Loss basis</t>
        </is>
      </c>
      <c r="T13" s="6" t="inlineStr">
        <is>
          <t>Date format</t>
        </is>
      </c>
      <c r="U13" s="6" t="inlineStr">
        <is>
          <t>Occurrence year from</t>
        </is>
      </c>
      <c r="V13" s="6" t="inlineStr">
        <is>
          <t>As at</t>
        </is>
      </c>
    </row>
    <row r="14">
      <c r="B14" s="7" t="inlineStr">
        <is>
          <t>05. Risk Profiles</t>
        </is>
      </c>
      <c r="C14" s="7" t="inlineStr">
        <is>
          <t>05 Profile</t>
        </is>
      </c>
      <c r="D14" s="7" t="inlineStr">
        <is>
          <t>Band</t>
        </is>
      </c>
      <c r="E14" s="7" t="inlineStr">
        <is>
          <t>Band from (optional)</t>
        </is>
      </c>
      <c r="F14" s="7" t="inlineStr">
        <is>
          <t>Band to (optional)</t>
        </is>
      </c>
      <c r="G14" s="7" t="inlineStr">
        <is>
          <t>Premium</t>
        </is>
      </c>
      <c r="H14" s="7" t="inlineStr">
        <is>
          <t>Number of Risks</t>
        </is>
      </c>
      <c r="I14" s="7" t="inlineStr">
        <is>
          <t>Exposure</t>
        </is>
      </c>
      <c r="N14" s="7" t="inlineStr">
        <is>
          <t>Section</t>
        </is>
      </c>
      <c r="O14" s="7" t="inlineStr">
        <is>
          <t>Currency</t>
        </is>
      </c>
      <c r="P14" s="7" t="inlineStr">
        <is>
          <t>Scale</t>
        </is>
      </c>
      <c r="Q14" s="7" t="inlineStr">
        <is>
          <t>Share basis</t>
        </is>
      </c>
      <c r="R14" s="7" t="inlineStr">
        <is>
          <t>Exposure basis</t>
        </is>
      </c>
      <c r="S14" s="7" t="inlineStr">
        <is>
          <t>Includes fac</t>
        </is>
      </c>
      <c r="T14" s="7" t="inlineStr">
        <is>
          <t>Layered business</t>
        </is>
      </c>
      <c r="U14" s="7" t="inlineStr">
        <is>
          <t>As at</t>
        </is>
      </c>
    </row>
    <row r="17">
      <c r="B17" s="3" t="inlineStr">
        <is>
          <t>⟦SECTIONS⟧</t>
        </is>
      </c>
    </row>
    <row r="18">
      <c r="B18" s="8" t="inlineStr">
        <is>
          <t>Section</t>
        </is>
      </c>
      <c r="C18" s="8" t="inlineStr">
        <is>
          <t>Kind</t>
        </is>
      </c>
      <c r="D18" s="8" t="inlineStr">
        <is>
          <t>Datasets</t>
        </is>
      </c>
    </row>
    <row r="19">
      <c r="B19" s="6" t="inlineStr">
        <is>
          <t>Fire</t>
        </is>
      </c>
      <c r="C19" s="5" t="inlineStr">
        <is>
          <t>per risk</t>
        </is>
      </c>
      <c r="D19" s="4" t="inlineStr">
        <is>
          <t>01, 02, 03</t>
        </is>
      </c>
    </row>
    <row r="20">
      <c r="B20" s="6" t="inlineStr">
        <is>
          <t>Earthquake</t>
        </is>
      </c>
      <c r="C20" s="5" t="inlineStr">
        <is>
          <t>cat</t>
        </is>
      </c>
      <c r="D20" s="4" t="inlineStr">
        <is>
          <t>01, 02, 04</t>
        </is>
      </c>
    </row>
    <row r="21">
      <c r="B21" s="6" t="inlineStr">
        <is>
          <t>Windstorm</t>
        </is>
      </c>
      <c r="C21" s="5" t="inlineStr">
        <is>
          <t>cat</t>
        </is>
      </c>
      <c r="D21" s="4" t="inlineStr">
        <is>
          <t>01, 02, 04</t>
        </is>
      </c>
    </row>
    <row r="23">
      <c r="B2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5">
      <c r="B25" s="3" t="inlineStr">
        <is>
          <t>⟦GLOBAL⟧</t>
        </is>
      </c>
    </row>
    <row r="26">
      <c r="B26" s="8" t="inlineStr">
        <is>
          <t>Attribute</t>
        </is>
      </c>
      <c r="C26" s="8" t="inlineStr">
        <is>
          <t>Value</t>
        </is>
      </c>
    </row>
    <row r="27">
      <c r="B27" s="4" t="inlineStr">
        <is>
          <t>Actual year</t>
        </is>
      </c>
      <c r="C27" s="9" t="n">
        <v>2025</v>
      </c>
    </row>
    <row r="28">
      <c r="B28" s="4" t="inlineStr">
        <is>
          <t>Treaty type</t>
        </is>
      </c>
      <c r="C28" s="6" t="inlineStr">
        <is>
          <t>Fire + Nat Cat</t>
        </is>
      </c>
    </row>
    <row r="29">
      <c r="B29" s="4" t="inlineStr">
        <is>
          <t>Cedent</t>
        </is>
      </c>
      <c r="C29" s="6" t="inlineStr">
        <is>
          <t>Example Insurance SA</t>
        </is>
      </c>
    </row>
    <row r="30">
      <c r="B30" s="4" t="inlineStr">
        <is>
          <t>Loss share warning</t>
        </is>
      </c>
      <c r="C30" s="10" t="n">
        <v>0.2</v>
      </c>
    </row>
    <row r="32">
      <c r="B32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34">
      <c r="B34" s="3" t="inlineStr">
        <is>
          <t>⟦TYPES⟧</t>
        </is>
      </c>
    </row>
    <row r="35">
      <c r="B35" s="8" t="inlineStr">
        <is>
          <t>Field</t>
        </is>
      </c>
      <c r="C35" s="8" t="inlineStr">
        <is>
          <t>Type</t>
        </is>
      </c>
    </row>
    <row r="36">
      <c r="B36" s="4" t="inlineStr">
        <is>
          <t>Year</t>
        </is>
      </c>
      <c r="C36" s="5" t="inlineStr">
        <is>
          <t>text</t>
        </is>
      </c>
    </row>
    <row r="37">
      <c r="B37" s="4" t="inlineStr">
        <is>
          <t>Premium</t>
        </is>
      </c>
      <c r="C37" s="5" t="inlineStr">
        <is>
          <t>number</t>
        </is>
      </c>
    </row>
    <row r="38">
      <c r="B38" s="4" t="inlineStr">
        <is>
          <t>Incurred Losses</t>
        </is>
      </c>
      <c r="C38" s="5" t="inlineStr">
        <is>
          <t>number</t>
        </is>
      </c>
    </row>
    <row r="39">
      <c r="B39" s="4" t="inlineStr">
        <is>
          <t>EPI</t>
        </is>
      </c>
      <c r="C39" s="5" t="inlineStr">
        <is>
          <t>number</t>
        </is>
      </c>
    </row>
    <row r="40">
      <c r="B40" s="4" t="inlineStr">
        <is>
          <t>Band</t>
        </is>
      </c>
      <c r="C40" s="5" t="inlineStr">
        <is>
          <t>text</t>
        </is>
      </c>
    </row>
    <row r="41">
      <c r="B41" s="4" t="inlineStr">
        <is>
          <t>Band from</t>
        </is>
      </c>
      <c r="C41" s="5" t="inlineStr">
        <is>
          <t>number</t>
        </is>
      </c>
    </row>
    <row r="42">
      <c r="B42" s="4" t="inlineStr">
        <is>
          <t>Band to</t>
        </is>
      </c>
      <c r="C42" s="5" t="inlineStr">
        <is>
          <t>number</t>
        </is>
      </c>
    </row>
    <row r="43">
      <c r="B43" s="4" t="inlineStr">
        <is>
          <t>Number of Risks</t>
        </is>
      </c>
      <c r="C43" s="5" t="inlineStr">
        <is>
          <t>number</t>
        </is>
      </c>
    </row>
    <row r="44">
      <c r="B44" s="4" t="inlineStr">
        <is>
          <t>Exposure</t>
        </is>
      </c>
      <c r="C44" s="5" t="inlineStr">
        <is>
          <t>number</t>
        </is>
      </c>
    </row>
    <row r="45">
      <c r="B45" s="4" t="inlineStr">
        <is>
          <t>Claim Reference</t>
        </is>
      </c>
      <c r="C45" s="5" t="inlineStr">
        <is>
          <t>text</t>
        </is>
      </c>
    </row>
    <row r="46">
      <c r="B46" s="4" t="inlineStr">
        <is>
          <t>Name of Loss</t>
        </is>
      </c>
      <c r="C46" s="5" t="inlineStr">
        <is>
          <t>text</t>
        </is>
      </c>
    </row>
    <row r="47">
      <c r="B47" s="4" t="inlineStr">
        <is>
          <t>Event ID</t>
        </is>
      </c>
      <c r="C47" s="5" t="inlineStr">
        <is>
          <t>text</t>
        </is>
      </c>
    </row>
    <row r="48">
      <c r="B48" s="4" t="inlineStr">
        <is>
          <t>Event Name</t>
        </is>
      </c>
      <c r="C48" s="5" t="inlineStr">
        <is>
          <t>text</t>
        </is>
      </c>
    </row>
    <row r="49">
      <c r="B49" s="4" t="inlineStr">
        <is>
          <t>Loss amount</t>
        </is>
      </c>
      <c r="C49" s="5" t="inlineStr">
        <is>
          <t>number</t>
        </is>
      </c>
    </row>
    <row r="50">
      <c r="B50" s="4" t="inlineStr">
        <is>
          <t>Number of Claims</t>
        </is>
      </c>
      <c r="C50" s="5" t="inlineStr">
        <is>
          <t>number</t>
        </is>
      </c>
    </row>
    <row r="51">
      <c r="B51" s="4" t="inlineStr">
        <is>
          <t>Date of Loss</t>
        </is>
      </c>
      <c r="C51" s="5" t="inlineStr">
        <is>
          <t>date</t>
        </is>
      </c>
    </row>
    <row r="52">
      <c r="B52" s="4" t="inlineStr">
        <is>
          <t>Event Date</t>
        </is>
      </c>
      <c r="C52" s="5" t="inlineStr">
        <is>
          <t>date</t>
        </is>
      </c>
    </row>
    <row r="53">
      <c r="B53" s="4" t="inlineStr">
        <is>
          <t>Event End Date</t>
        </is>
      </c>
      <c r="C53" s="5" t="inlineStr">
        <is>
          <t>date</t>
        </is>
      </c>
    </row>
    <row r="55">
      <c r="B55" s="2" t="inlineStr">
        <is>
          <t>A field name carries one type across the whole workbook.</t>
        </is>
      </c>
    </row>
    <row r="57">
      <c r="B57" s="3" t="inlineStr">
        <is>
          <t>⟦VOCABULARY⟧</t>
        </is>
      </c>
    </row>
    <row r="58">
      <c r="B58" s="8" t="inlineStr">
        <is>
          <t>Attribute</t>
        </is>
      </c>
      <c r="C58" s="8" t="inlineStr">
        <is>
          <t>Permitted values</t>
        </is>
      </c>
    </row>
    <row r="59">
      <c r="B59" s="4" t="inlineStr">
        <is>
          <t>Year basis</t>
        </is>
      </c>
      <c r="C59" s="4" t="inlineStr">
        <is>
          <t>UW | Occurrence</t>
        </is>
      </c>
    </row>
    <row r="60">
      <c r="B60" s="4" t="inlineStr">
        <is>
          <t>Premium basis</t>
        </is>
      </c>
      <c r="C60" s="4" t="inlineStr">
        <is>
          <t>GWP | GNPI | Written | Earned | Signed</t>
        </is>
      </c>
    </row>
    <row r="61">
      <c r="B61" s="4" t="inlineStr">
        <is>
          <t>Loss basis</t>
        </is>
      </c>
      <c r="C61" s="4" t="inlineStr">
        <is>
          <t>Paid | Incurred</t>
        </is>
      </c>
    </row>
    <row r="62">
      <c r="B62" s="4" t="inlineStr">
        <is>
          <t>PF transfer</t>
        </is>
      </c>
      <c r="C62" s="4" t="inlineStr">
        <is>
          <t>with clean cut | without clean cut | none</t>
        </is>
      </c>
    </row>
    <row r="63">
      <c r="B63" s="4" t="inlineStr">
        <is>
          <t>Exposure basis</t>
        </is>
      </c>
      <c r="C63" s="4" t="inlineStr">
        <is>
          <t>Sum Insured | EML | PML | MPL</t>
        </is>
      </c>
    </row>
    <row r="64">
      <c r="B64" s="4" t="inlineStr">
        <is>
          <t>Includes fac</t>
        </is>
      </c>
      <c r="C64" s="4" t="inlineStr">
        <is>
          <t>yes | no</t>
        </is>
      </c>
    </row>
    <row r="65">
      <c r="B65" s="4" t="inlineStr">
        <is>
          <t>Layered business</t>
        </is>
      </c>
      <c r="C65" s="4" t="inlineStr">
        <is>
          <t>included | excluded</t>
        </is>
      </c>
    </row>
    <row r="66">
      <c r="B66" s="4" t="inlineStr">
        <is>
          <t>Scale</t>
        </is>
      </c>
      <c r="C66" s="4" t="inlineStr">
        <is>
          <t>1 | 1,000 | 1,000,000</t>
        </is>
      </c>
    </row>
    <row r="67">
      <c r="B67" s="4" t="inlineStr">
        <is>
          <t>Share basis</t>
        </is>
      </c>
      <c r="C67" s="4" t="inlineStr">
        <is>
          <t>100% | ceded only</t>
        </is>
      </c>
    </row>
    <row r="68">
      <c r="B68" s="4" t="inlineStr">
        <is>
          <t>Date format</t>
        </is>
      </c>
      <c r="C68" s="4" t="inlineStr">
        <is>
          <t>ISO | DD.MM.YYYY | MM/DD/YYYY</t>
        </is>
      </c>
    </row>
    <row r="69">
      <c r="B69" s="4" t="inlineStr">
        <is>
          <t>Occurrence year from</t>
        </is>
      </c>
      <c r="C69" s="4" t="inlineStr">
        <is>
          <t>Event Date | Event End Date</t>
        </is>
      </c>
    </row>
    <row r="70">
      <c r="B70" s="4" t="inlineStr">
        <is>
          <t>Currency</t>
        </is>
      </c>
      <c r="C70" s="4" t="inlineStr">
        <is>
          <t>ISO 4217</t>
        </is>
      </c>
    </row>
    <row r="73">
      <c r="B73" s="3" t="inlineStr">
        <is>
          <t>⟦PERIOD ORDER⟧</t>
        </is>
      </c>
    </row>
    <row r="74">
      <c r="B74" s="8" t="inlineStr">
        <is>
          <t>Rank</t>
        </is>
      </c>
      <c r="C74" s="8" t="inlineStr">
        <is>
          <t>Suffix</t>
        </is>
      </c>
    </row>
    <row r="75">
      <c r="B75" s="11" t="n">
        <v>1</v>
      </c>
      <c r="C75" s="5" t="inlineStr">
        <is>
          <t>est</t>
        </is>
      </c>
    </row>
    <row r="76">
      <c r="B76" s="11" t="n">
        <v>2</v>
      </c>
      <c r="C76" s="5" t="inlineStr">
        <is>
          <t>9 months</t>
        </is>
      </c>
    </row>
    <row r="77">
      <c r="B77" s="11" t="n">
        <v>3</v>
      </c>
      <c r="C77" s="5" t="inlineStr">
        <is>
          <t>re-est</t>
        </is>
      </c>
    </row>
    <row r="79">
      <c r="B79" s="2" t="inlineStr">
        <is>
          <t>Within one year the suffixes sort in this order, not alphabetically. A bare year sorts first; an unlisted suffix sorts last.</t>
        </is>
      </c>
    </row>
    <row r="81">
      <c r="B81" s="3" t="inlineStr">
        <is>
          <t>⟦RULES⟧</t>
        </is>
      </c>
    </row>
    <row r="82">
      <c r="B82" s="8" t="inlineStr">
        <is>
          <t>ID</t>
        </is>
      </c>
      <c r="C82" s="8" t="inlineStr">
        <is>
          <t>Left</t>
        </is>
      </c>
      <c r="D82" s="8" t="inlineStr">
        <is>
          <t>Rel</t>
        </is>
      </c>
      <c r="E82" s="8" t="inlineStr">
        <is>
          <t>Right</t>
        </is>
      </c>
      <c r="F82" s="8" t="inlineStr">
        <is>
          <t>Tolerance</t>
        </is>
      </c>
      <c r="G82" s="8" t="inlineStr">
        <is>
          <t>Severity</t>
        </is>
      </c>
      <c r="H82" s="8" t="inlineStr">
        <is>
          <t>Scope</t>
        </is>
      </c>
      <c r="I82" s="8" t="inlineStr">
        <is>
          <t>Note</t>
        </is>
      </c>
    </row>
    <row r="83">
      <c r="B83" s="8" t="inlineStr">
        <is>
          <t>R-05</t>
        </is>
      </c>
      <c r="C83" s="12" t="inlineStr">
        <is>
          <t>01.Premium@{N} 9 months</t>
        </is>
      </c>
      <c r="D83" s="8" t="inlineStr">
        <is>
          <t>=</t>
        </is>
      </c>
      <c r="E83" s="12" t="inlineStr">
        <is>
          <t>02.EPI@{N} 9 months</t>
        </is>
      </c>
      <c r="F83" s="4" t="n">
        <v>1</v>
      </c>
      <c r="G83" s="4" t="inlineStr">
        <is>
          <t>error</t>
        </is>
      </c>
      <c r="H83" s="5" t="inlineStr">
        <is>
          <t>all</t>
        </is>
      </c>
      <c r="I83" s="2" t="inlineStr">
        <is>
          <t>same nine months reported in two sheets</t>
        </is>
      </c>
    </row>
    <row r="84">
      <c r="B84" s="8" t="inlineStr">
        <is>
          <t>R-06</t>
        </is>
      </c>
      <c r="C84" s="12" t="inlineStr">
        <is>
          <t>01.Premium@{N}</t>
        </is>
      </c>
      <c r="D84" s="8" t="inlineStr">
        <is>
          <t>=</t>
        </is>
      </c>
      <c r="E84" s="12" t="inlineStr">
        <is>
          <t>02.EPI@{N} re-est</t>
        </is>
      </c>
      <c r="F84" s="4" t="n">
        <v>1</v>
      </c>
      <c r="G84" s="4" t="inlineStr">
        <is>
          <t>error</t>
        </is>
      </c>
      <c r="H84" s="5" t="inlineStr">
        <is>
          <t>all</t>
        </is>
      </c>
      <c r="I84" s="2" t="inlineStr">
        <is>
          <t>a full-year N in History is an estimate, not an actual</t>
        </is>
      </c>
    </row>
    <row r="85">
      <c r="B85" s="8" t="inlineStr">
        <is>
          <t>R-07</t>
        </is>
      </c>
      <c r="C85" s="12" t="inlineStr">
        <is>
          <t>02.EPI@{N} re-est</t>
        </is>
      </c>
      <c r="D85" s="8" t="inlineStr">
        <is>
          <t>&gt;=</t>
        </is>
      </c>
      <c r="E85" s="12" t="inlineStr">
        <is>
          <t>02.EPI@{N} 9 months</t>
        </is>
      </c>
      <c r="F85" s="4" t="n">
        <v>0</v>
      </c>
      <c r="G85" s="4" t="inlineStr">
        <is>
          <t>error</t>
        </is>
      </c>
      <c r="H85" s="5" t="inlineStr">
        <is>
          <t>all</t>
        </is>
      </c>
      <c r="I85" s="2" t="inlineStr">
        <is>
          <t>premium accrues; a re-estimate cannot fall below what is booked</t>
        </is>
      </c>
    </row>
    <row r="86">
      <c r="B86" s="8" t="inlineStr">
        <is>
          <t>R-01</t>
        </is>
      </c>
      <c r="C86" s="12" t="inlineStr">
        <is>
          <t>SUM(03.Loss amount@{Y})</t>
        </is>
      </c>
      <c r="D86" s="8" t="inlineStr">
        <is>
          <t>&lt;=</t>
        </is>
      </c>
      <c r="E86" s="12" t="inlineStr">
        <is>
          <t>01.Incurred Losses@{Y}</t>
        </is>
      </c>
      <c r="F86" s="4" t="n">
        <v>1</v>
      </c>
      <c r="G86" s="4" t="inlineStr">
        <is>
          <t>error</t>
        </is>
      </c>
      <c r="H86" s="5" t="inlineStr">
        <is>
          <t>per risk</t>
        </is>
      </c>
      <c r="I86" s="2" t="inlineStr">
        <is>
          <t>large losses cannot exceed total incurred for the same year</t>
        </is>
      </c>
    </row>
    <row r="87">
      <c r="B87" s="8" t="inlineStr">
        <is>
          <t>R-02</t>
        </is>
      </c>
      <c r="C87" s="12" t="inlineStr">
        <is>
          <t>SUM(04.Loss amount@{Y})</t>
        </is>
      </c>
      <c r="D87" s="8" t="inlineStr">
        <is>
          <t>&lt;=</t>
        </is>
      </c>
      <c r="E87" s="12" t="inlineStr">
        <is>
          <t>01.Incurred Losses@{Y}</t>
        </is>
      </c>
      <c r="F87" s="4" t="n">
        <v>1</v>
      </c>
      <c r="G87" s="4" t="inlineStr">
        <is>
          <t>error</t>
        </is>
      </c>
      <c r="H87" s="5" t="inlineStr">
        <is>
          <t>cat</t>
        </is>
      </c>
      <c r="I87" s="2" t="inlineStr">
        <is>
          <t>cat losses cannot exceed total incurred for the same year</t>
        </is>
      </c>
    </row>
    <row r="88">
      <c r="B88" s="8" t="inlineStr">
        <is>
          <t>R-09</t>
        </is>
      </c>
      <c r="C88" s="12" t="inlineStr">
        <is>
          <t>01.Year basis</t>
        </is>
      </c>
      <c r="D88" s="8" t="inlineStr">
        <is>
          <t>=</t>
        </is>
      </c>
      <c r="E88" s="12" t="inlineStr">
        <is>
          <t>03.Year basis</t>
        </is>
      </c>
      <c r="F88" s="4" t="n">
        <v>0</v>
      </c>
      <c r="G88" s="4" t="inlineStr">
        <is>
          <t>error</t>
        </is>
      </c>
      <c r="H88" s="5" t="inlineStr">
        <is>
          <t>per risk</t>
        </is>
      </c>
      <c r="I88" s="2" t="inlineStr">
        <is>
          <t>history and large losses must be on the same year basis</t>
        </is>
      </c>
    </row>
    <row r="89">
      <c r="B89" s="8" t="inlineStr">
        <is>
          <t>R-10</t>
        </is>
      </c>
      <c r="C89" s="12" t="inlineStr">
        <is>
          <t>01.Year basis</t>
        </is>
      </c>
      <c r="D89" s="8" t="inlineStr">
        <is>
          <t>=</t>
        </is>
      </c>
      <c r="E89" s="12" t="inlineStr">
        <is>
          <t>04.Year basis</t>
        </is>
      </c>
      <c r="F89" s="4" t="n">
        <v>0</v>
      </c>
      <c r="G89" s="4" t="inlineStr">
        <is>
          <t>error</t>
        </is>
      </c>
      <c r="H89" s="5" t="inlineStr">
        <is>
          <t>cat</t>
        </is>
      </c>
      <c r="I89" s="2" t="inlineStr">
        <is>
          <t>history and cat losses must be on the same year basis</t>
        </is>
      </c>
    </row>
    <row r="91">
      <c r="B91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93">
      <c r="B93" s="3" t="inlineStr">
        <is>
          <t>⟦MARKERS⟧  —  written in column A of every other sheet</t>
        </is>
      </c>
    </row>
    <row r="94">
      <c r="B94" s="8" t="inlineStr">
        <is>
          <t>Marker</t>
        </is>
      </c>
      <c r="C94" s="8" t="inlineStr">
        <is>
          <t>Meaning</t>
        </is>
      </c>
    </row>
    <row r="95">
      <c r="B95" s="13" t="inlineStr">
        <is>
          <t>Header_i</t>
        </is>
      </c>
      <c r="C95" s="4" t="inlineStr">
        <is>
          <t>row-wise: this row is block i's extraction row (declared labels only)</t>
        </is>
      </c>
    </row>
    <row r="96">
      <c r="B96" s="13" t="inlineStr">
        <is>
          <t>Header_i = &lt;col&gt;</t>
        </is>
      </c>
      <c r="C96" s="4" t="inlineStr">
        <is>
          <t>transposed: this column is block i's extraction column</t>
        </is>
      </c>
    </row>
    <row r="97">
      <c r="B97" s="13" t="inlineStr">
        <is>
          <t>Info_i = &lt;col&gt;</t>
        </is>
      </c>
      <c r="C97" s="4" t="inlineStr">
        <is>
          <t>row-wise: this column holds the record selectors, =ROW()</t>
        </is>
      </c>
    </row>
    <row r="98">
      <c r="B98" s="13" t="inlineStr">
        <is>
          <t>Info_i = &lt;row&gt;</t>
        </is>
      </c>
      <c r="C98" s="4" t="inlineStr">
        <is>
          <t>transposed: this row holds the record selectors, =COLUMN()</t>
        </is>
      </c>
    </row>
    <row r="99">
      <c r="B99" s="13" t="inlineStr">
        <is>
          <t>Transpose_i</t>
        </is>
      </c>
      <c r="C99" s="4" t="inlineStr">
        <is>
          <t>block i is transposed</t>
        </is>
      </c>
    </row>
    <row r="100">
      <c r="B100" s="13" t="inlineStr">
        <is>
          <t>Dataset_i = &lt;key&gt;</t>
        </is>
      </c>
      <c r="C100" s="4" t="inlineStr">
        <is>
          <t>which dataset block i is — defaults to the sheet-name match</t>
        </is>
      </c>
    </row>
    <row r="101">
      <c r="B101" s="13" t="inlineStr">
        <is>
          <t>Section_i = &lt;name&gt;</t>
        </is>
      </c>
      <c r="C101" s="4" t="inlineStr">
        <is>
          <t>which section of the treaty block i belongs to</t>
        </is>
      </c>
    </row>
    <row r="102">
      <c r="B102" s="13" t="inlineStr">
        <is>
          <t>&lt;Attribute&gt; = &lt;value&gt;</t>
        </is>
      </c>
      <c r="C102" s="4" t="inlineStr">
        <is>
          <t>an attribute of the sheet (unsuffixed) or block i (suffixed _i)</t>
        </is>
      </c>
    </row>
    <row r="103">
      <c r="B103" s="13" t="inlineStr">
        <is>
          <t>H_&lt;Attribute&gt; = &lt;val&gt;</t>
        </is>
      </c>
      <c r="C103" s="4" t="inlineStr">
        <is>
          <t>the same, declared as a hypothesis — raises a query</t>
        </is>
      </c>
    </row>
    <row r="105">
      <c r="B105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1240</v>
      </c>
      <c r="D12" s="18" t="n">
        <v>15900</v>
      </c>
      <c r="G12" s="18" t="n">
        <v>14930</v>
      </c>
      <c r="L12" s="19">
        <f>ROW()</f>
        <v>12</v>
      </c>
    </row>
    <row r="13">
      <c r="B13" s="17" t="inlineStr">
        <is>
          <t>2022</t>
        </is>
      </c>
      <c r="C13" s="18" t="n">
        <v>1310</v>
      </c>
      <c r="D13" s="18" t="n">
        <v>16740</v>
      </c>
      <c r="G13" s="18" t="n">
        <v>10030</v>
      </c>
      <c r="L13" s="19">
        <f>ROW()</f>
        <v>13</v>
      </c>
    </row>
    <row r="14">
      <c r="B14" s="17" t="inlineStr">
        <is>
          <t>2023</t>
        </is>
      </c>
      <c r="C14" s="18" t="n">
        <v>1395</v>
      </c>
      <c r="D14" s="18" t="n">
        <v>17520</v>
      </c>
      <c r="G14" s="18" t="n">
        <v>12660</v>
      </c>
      <c r="L14" s="19">
        <f>ROW()</f>
        <v>14</v>
      </c>
    </row>
    <row r="15">
      <c r="B15" s="17" t="inlineStr">
        <is>
          <t>2024</t>
        </is>
      </c>
      <c r="C15" s="18" t="n">
        <v>1460</v>
      </c>
      <c r="D15" s="18" t="n">
        <v>18390</v>
      </c>
      <c r="G15" s="18" t="n">
        <v>11700</v>
      </c>
      <c r="L15" s="19">
        <f>ROW()</f>
        <v>15</v>
      </c>
    </row>
    <row r="16">
      <c r="B16" s="17" t="inlineStr">
        <is>
          <t>2025</t>
        </is>
      </c>
      <c r="C16" s="18" t="n">
        <v>1505</v>
      </c>
      <c r="D16" s="18" t="n">
        <v>19200</v>
      </c>
      <c r="G16" s="18" t="n">
        <v>10250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1180</v>
      </c>
      <c r="D17" s="18" t="n">
        <v>14400</v>
      </c>
      <c r="G17" s="18" t="n">
        <v>7100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8090</v>
      </c>
      <c r="D18" s="20">
        <f>SUM(D12:D17)</f>
        <v>102150</v>
      </c>
      <c r="G18" s="20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860</v>
      </c>
      <c r="D12" s="18" t="n">
        <v>6200</v>
      </c>
      <c r="G12" s="18" t="n">
        <v>1200</v>
      </c>
      <c r="L12" s="19">
        <f>ROW()</f>
        <v>12</v>
      </c>
    </row>
    <row r="13">
      <c r="B13" s="17" t="inlineStr">
        <is>
          <t>2022</t>
        </is>
      </c>
      <c r="C13" s="18" t="n">
        <v>890</v>
      </c>
      <c r="D13" s="18" t="n">
        <v>6450</v>
      </c>
      <c r="G13" s="18" t="n">
        <v>480</v>
      </c>
      <c r="L13" s="19">
        <f>ROW()</f>
        <v>13</v>
      </c>
    </row>
    <row r="14">
      <c r="B14" s="17" t="inlineStr">
        <is>
          <t>2023</t>
        </is>
      </c>
      <c r="C14" s="18" t="n">
        <v>915</v>
      </c>
      <c r="D14" s="18" t="n">
        <v>6700</v>
      </c>
      <c r="G14" s="18" t="n">
        <v>8900</v>
      </c>
      <c r="L14" s="19">
        <f>ROW()</f>
        <v>14</v>
      </c>
    </row>
    <row r="15">
      <c r="B15" s="17" t="inlineStr">
        <is>
          <t>2024</t>
        </is>
      </c>
      <c r="C15" s="18" t="n">
        <v>940</v>
      </c>
      <c r="D15" s="18" t="n">
        <v>6980</v>
      </c>
      <c r="G15" s="18" t="n">
        <v>620</v>
      </c>
      <c r="L15" s="19">
        <f>ROW()</f>
        <v>15</v>
      </c>
    </row>
    <row r="16">
      <c r="B16" s="17" t="inlineStr">
        <is>
          <t>2025</t>
        </is>
      </c>
      <c r="C16" s="18" t="n">
        <v>960</v>
      </c>
      <c r="D16" s="18" t="n">
        <v>7250</v>
      </c>
      <c r="G16" s="18" t="n">
        <v>540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745</v>
      </c>
      <c r="D17" s="18" t="n">
        <v>5430</v>
      </c>
      <c r="G17" s="18" t="n">
        <v>410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5310</v>
      </c>
      <c r="D18" s="20">
        <f>SUM(D12:D17)</f>
        <v>39010</v>
      </c>
      <c r="G18" s="20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1020</v>
      </c>
      <c r="D12" s="18" t="n">
        <v>7400</v>
      </c>
      <c r="G12" s="18" t="n">
        <v>2300</v>
      </c>
      <c r="L12" s="19">
        <f>ROW()</f>
        <v>12</v>
      </c>
    </row>
    <row r="13">
      <c r="B13" s="17" t="inlineStr">
        <is>
          <t>2022</t>
        </is>
      </c>
      <c r="C13" s="18" t="n">
        <v>1055</v>
      </c>
      <c r="D13" s="18" t="n">
        <v>7690</v>
      </c>
      <c r="G13" s="18" t="n">
        <v>6800</v>
      </c>
      <c r="L13" s="19">
        <f>ROW()</f>
        <v>13</v>
      </c>
    </row>
    <row r="14">
      <c r="B14" s="17" t="inlineStr">
        <is>
          <t>2023</t>
        </is>
      </c>
      <c r="C14" s="18" t="n">
        <v>1090</v>
      </c>
      <c r="D14" s="18" t="n">
        <v>7980</v>
      </c>
      <c r="G14" s="18" t="n">
        <v>1450</v>
      </c>
      <c r="L14" s="19">
        <f>ROW()</f>
        <v>14</v>
      </c>
    </row>
    <row r="15">
      <c r="B15" s="17" t="inlineStr">
        <is>
          <t>2024</t>
        </is>
      </c>
      <c r="C15" s="18" t="n">
        <v>1125</v>
      </c>
      <c r="D15" s="18" t="n">
        <v>8300</v>
      </c>
      <c r="G15" s="18" t="n">
        <v>3200</v>
      </c>
      <c r="L15" s="19">
        <f>ROW()</f>
        <v>15</v>
      </c>
    </row>
    <row r="16">
      <c r="B16" s="17" t="inlineStr">
        <is>
          <t>2025</t>
        </is>
      </c>
      <c r="C16" s="18" t="n">
        <v>1150</v>
      </c>
      <c r="D16" s="18" t="n">
        <v>8600</v>
      </c>
      <c r="G16" s="18" t="n">
        <v>9100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890</v>
      </c>
      <c r="D17" s="18" t="n">
        <v>6440</v>
      </c>
      <c r="G17" s="18" t="n">
        <v>5300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6330</v>
      </c>
      <c r="D18" s="20">
        <f>SUM(D12:D17)</f>
        <v>46410</v>
      </c>
      <c r="G18" s="20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18500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14400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19200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20900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7000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5430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7250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7900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8300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6440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8600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9250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Warehouse fire, Lyon</t>
        </is>
      </c>
      <c r="E12" s="18" t="n">
        <v>1850</v>
      </c>
      <c r="F12" s="22" t="n">
        <v>44269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Factory fire, Rotterdam</t>
        </is>
      </c>
      <c r="E13" s="18" t="n">
        <v>3400</v>
      </c>
      <c r="F13" s="22" t="n">
        <v>44953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2024</t>
        </is>
      </c>
      <c r="D14" s="4" t="inlineStr">
        <is>
          <t>Chemical plant fire, Basel</t>
        </is>
      </c>
      <c r="E14" s="18" t="n">
        <v>2600</v>
      </c>
      <c r="F14" s="22" t="n">
        <v>45431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2025</t>
        </is>
      </c>
      <c r="D15" s="4" t="inlineStr">
        <is>
          <t>Cold store collapse, Milan</t>
        </is>
      </c>
      <c r="E15" s="18" t="n">
        <v>1420</v>
      </c>
      <c r="F15" s="22" t="n">
        <v>45699</v>
      </c>
      <c r="J15" s="19">
        <f>ROW()</f>
        <v>15</v>
      </c>
    </row>
    <row r="16">
      <c r="C16" s="8" t="inlineStr">
        <is>
          <t>Total</t>
        </is>
      </c>
      <c r="E16" s="20">
        <f>SUM(E12:E15)</f>
        <v>9270</v>
      </c>
      <c r="G16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H10" s="7" t="inlineStr">
        <is>
          <t>Claims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H11" s="16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7" t="inlineStr">
        <is>
          <t>2022</t>
        </is>
      </c>
      <c r="D12" s="4" t="inlineStr">
        <is>
          <t>Aegean earthquake M6.8</t>
        </is>
      </c>
      <c r="E12" s="18" t="n">
        <v>400</v>
      </c>
      <c r="F12" s="22" t="n">
        <v>44963</v>
      </c>
      <c r="G12" s="22" t="n">
        <v>44963</v>
      </c>
      <c r="H12" s="18" t="n">
        <v>12</v>
      </c>
      <c r="J12" s="19">
        <f>ROW()</f>
        <v>12</v>
      </c>
    </row>
    <row r="13">
      <c r="B13" s="4" t="inlineStr">
        <is>
          <t>EV-101</t>
        </is>
      </c>
      <c r="C13" s="17" t="inlineStr">
        <is>
          <t>2023</t>
        </is>
      </c>
      <c r="D13" s="4" t="inlineStr">
        <is>
          <t>Aegean earthquake M6.8</t>
        </is>
      </c>
      <c r="E13" s="18" t="n">
        <v>6800</v>
      </c>
      <c r="F13" s="22" t="n">
        <v>44963</v>
      </c>
      <c r="G13" s="22" t="n">
        <v>44963</v>
      </c>
      <c r="H13" s="18" t="n">
        <v>188</v>
      </c>
      <c r="J13" s="19">
        <f>ROW()</f>
        <v>13</v>
      </c>
    </row>
    <row r="14">
      <c r="B14" s="4" t="inlineStr">
        <is>
          <t>EV-102</t>
        </is>
      </c>
      <c r="C14" s="17" t="inlineStr">
        <is>
          <t>2021</t>
        </is>
      </c>
      <c r="D14" s="4" t="inlineStr">
        <is>
          <t>Central Italy earthquake</t>
        </is>
      </c>
      <c r="E14" s="18" t="n">
        <v>950</v>
      </c>
      <c r="F14" s="22" t="n">
        <v>44519</v>
      </c>
      <c r="G14" s="22" t="n">
        <v>44520</v>
      </c>
      <c r="H14" s="18" t="n">
        <v>31</v>
      </c>
      <c r="J14" s="19">
        <f>ROW()</f>
        <v>14</v>
      </c>
    </row>
    <row r="15">
      <c r="B15" s="8" t="inlineStr">
        <is>
          <t>Total</t>
        </is>
      </c>
      <c r="E15" s="20">
        <f>SUM(E12:E14)</f>
        <v>8150</v>
      </c>
      <c r="H15" s="20">
        <f>SUM(H12:H14)</f>
        <v>231</v>
      </c>
      <c r="I15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7" t="inlineStr">
        <is>
          <t>2021</t>
        </is>
      </c>
      <c r="D12" s="4" t="inlineStr">
        <is>
          <t>Windstorm Eunice</t>
        </is>
      </c>
      <c r="E12" s="18" t="n">
        <v>1400</v>
      </c>
      <c r="F12" s="22" t="n">
        <v>44610</v>
      </c>
      <c r="G12" s="22" t="n">
        <v>44611</v>
      </c>
      <c r="J12" s="19">
        <f>ROW()</f>
        <v>12</v>
      </c>
    </row>
    <row r="13">
      <c r="B13" s="4" t="inlineStr">
        <is>
          <t>EV-201</t>
        </is>
      </c>
      <c r="C13" s="17" t="inlineStr">
        <is>
          <t>2022</t>
        </is>
      </c>
      <c r="D13" s="4" t="inlineStr">
        <is>
          <t>Windstorm Eunice</t>
        </is>
      </c>
      <c r="E13" s="18" t="n">
        <v>4000</v>
      </c>
      <c r="F13" s="22" t="n">
        <v>44610</v>
      </c>
      <c r="G13" s="22" t="n">
        <v>44611</v>
      </c>
      <c r="J13" s="19">
        <f>ROW()</f>
        <v>13</v>
      </c>
    </row>
    <row r="14">
      <c r="B14" s="4" t="inlineStr">
        <is>
          <t>EV-202</t>
        </is>
      </c>
      <c r="C14" s="17" t="inlineStr">
        <is>
          <t>2024</t>
        </is>
      </c>
      <c r="D14" s="4" t="inlineStr">
        <is>
          <t>Windstorm Bettina</t>
        </is>
      </c>
      <c r="E14" s="18" t="n">
        <v>1000</v>
      </c>
      <c r="F14" s="22" t="n">
        <v>45656</v>
      </c>
      <c r="G14" s="22" t="n">
        <v>45659</v>
      </c>
      <c r="J14" s="19">
        <f>ROW()</f>
        <v>14</v>
      </c>
    </row>
    <row r="15">
      <c r="B15" s="4" t="inlineStr">
        <is>
          <t>EV-202</t>
        </is>
      </c>
      <c r="C15" s="17" t="inlineStr">
        <is>
          <t>2025</t>
        </is>
      </c>
      <c r="D15" s="4" t="inlineStr">
        <is>
          <t>Windstorm Bettina</t>
        </is>
      </c>
      <c r="E15" s="18" t="n">
        <v>6600</v>
      </c>
      <c r="F15" s="22" t="n">
        <v>45656</v>
      </c>
      <c r="G15" s="22" t="n">
        <v>45659</v>
      </c>
      <c r="J15" s="19">
        <f>ROW()</f>
        <v>15</v>
      </c>
    </row>
    <row r="16">
      <c r="B16" s="4" t="inlineStr">
        <is>
          <t>EV-203</t>
        </is>
      </c>
      <c r="C16" s="17" t="inlineStr">
        <is>
          <t>2024</t>
        </is>
      </c>
      <c r="D16" s="4" t="inlineStr">
        <is>
          <t>Windstorm Kyrill II</t>
        </is>
      </c>
      <c r="E16" s="18" t="n">
        <v>1800</v>
      </c>
      <c r="F16" s="22" t="n">
        <v>45635</v>
      </c>
      <c r="G16" s="22" t="n">
        <v>45636</v>
      </c>
      <c r="J16" s="19">
        <f>ROW()</f>
        <v>16</v>
      </c>
    </row>
    <row r="17">
      <c r="B17" s="8" t="inlineStr">
        <is>
          <t>Total</t>
        </is>
      </c>
      <c r="E17" s="20">
        <f>SUM(E12:E16)</f>
        <v>14800</v>
      </c>
      <c r="I17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2026-08-17T18:48:46Z</dcterms:created>
  <dcterms:modified xsi:type="dcterms:W3CDTF">2026-08-17T18:48:46Z</dcterms:modified>
</cp:coreProperties>
</file>