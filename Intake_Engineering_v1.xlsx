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  <sheet name="05. Risk 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⟦SECTIONS⟧</t>
        </is>
      </c>
    </row>
    <row r="13">
      <c r="B13" s="7" t="inlineStr">
        <is>
          <t>Section</t>
        </is>
      </c>
      <c r="C13" s="7" t="inlineStr">
        <is>
          <t>Kind</t>
        </is>
      </c>
      <c r="D13" s="7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01, 02, 03, 04, 05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7" t="inlineStr">
        <is>
          <t>Attribute</t>
        </is>
      </c>
      <c r="C19" s="7" t="inlineStr">
        <is>
          <t>Value</t>
        </is>
      </c>
    </row>
    <row r="20">
      <c r="B20" s="4" t="inlineStr">
        <is>
          <t>Actual year</t>
        </is>
      </c>
      <c r="C20" s="8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9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7" t="inlineStr">
        <is>
          <t>Field</t>
        </is>
      </c>
      <c r="C28" s="7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Band from</t>
        </is>
      </c>
      <c r="C34" s="5" t="inlineStr">
        <is>
          <t>number</t>
        </is>
      </c>
    </row>
    <row r="35">
      <c r="B35" s="4" t="inlineStr">
        <is>
          <t>Band to</t>
        </is>
      </c>
      <c r="C35" s="5" t="inlineStr">
        <is>
          <t>number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Exposure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Event ID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</t>
        </is>
      </c>
    </row>
    <row r="50">
      <c r="B50" s="3" t="inlineStr">
        <is>
          <t>⟦VOCABULARY⟧</t>
        </is>
      </c>
    </row>
    <row r="51">
      <c r="B51" s="7" t="inlineStr">
        <is>
          <t>Attribute</t>
        </is>
      </c>
      <c r="C51" s="7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Includes fac</t>
        </is>
      </c>
      <c r="C57" s="4" t="inlineStr">
        <is>
          <t>yes | no</t>
        </is>
      </c>
    </row>
    <row r="58">
      <c r="B58" s="4" t="inlineStr">
        <is>
          <t>Layered business</t>
        </is>
      </c>
      <c r="C58" s="4" t="inlineStr">
        <is>
          <t>included | excluded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7" t="inlineStr">
        <is>
          <t>Rank</t>
        </is>
      </c>
      <c r="C67" s="7" t="inlineStr">
        <is>
          <t>Suffix</t>
        </is>
      </c>
    </row>
    <row r="68">
      <c r="B68" s="10" t="n">
        <v>1</v>
      </c>
      <c r="C68" s="5" t="inlineStr">
        <is>
          <t>est</t>
        </is>
      </c>
    </row>
    <row r="69">
      <c r="B69" s="10" t="n">
        <v>2</v>
      </c>
      <c r="C69" s="5" t="inlineStr">
        <is>
          <t>9 months</t>
        </is>
      </c>
    </row>
    <row r="70">
      <c r="B70" s="10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7" t="inlineStr">
        <is>
          <t>ID</t>
        </is>
      </c>
      <c r="C75" s="7" t="inlineStr">
        <is>
          <t>Left</t>
        </is>
      </c>
      <c r="D75" s="7" t="inlineStr">
        <is>
          <t>Rel</t>
        </is>
      </c>
      <c r="E75" s="7" t="inlineStr">
        <is>
          <t>Right</t>
        </is>
      </c>
      <c r="F75" s="7" t="inlineStr">
        <is>
          <t>Tolerance</t>
        </is>
      </c>
      <c r="G75" s="7" t="inlineStr">
        <is>
          <t>Severity</t>
        </is>
      </c>
      <c r="H75" s="7" t="inlineStr">
        <is>
          <t>Scope</t>
        </is>
      </c>
      <c r="I75" s="7" t="inlineStr">
        <is>
          <t>Note</t>
        </is>
      </c>
    </row>
    <row r="76">
      <c r="B76" s="7" t="inlineStr">
        <is>
          <t>R-05</t>
        </is>
      </c>
      <c r="C76" s="11" t="inlineStr">
        <is>
          <t>01.Premium@{N} 9 months</t>
        </is>
      </c>
      <c r="D76" s="7" t="inlineStr">
        <is>
          <t>=</t>
        </is>
      </c>
      <c r="E76" s="11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7" t="inlineStr">
        <is>
          <t>R-06</t>
        </is>
      </c>
      <c r="C77" s="11" t="inlineStr">
        <is>
          <t>01.Premium@{N}</t>
        </is>
      </c>
      <c r="D77" s="7" t="inlineStr">
        <is>
          <t>=</t>
        </is>
      </c>
      <c r="E77" s="11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7" t="inlineStr">
        <is>
          <t>R-07</t>
        </is>
      </c>
      <c r="C78" s="11" t="inlineStr">
        <is>
          <t>02.EPI@{N} re-est</t>
        </is>
      </c>
      <c r="D78" s="7" t="inlineStr">
        <is>
          <t>&gt;=</t>
        </is>
      </c>
      <c r="E78" s="11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7" t="inlineStr">
        <is>
          <t>R-01</t>
        </is>
      </c>
      <c r="C79" s="11" t="inlineStr">
        <is>
          <t>SUM(03.Loss amount@{Y})</t>
        </is>
      </c>
      <c r="D79" s="7" t="inlineStr">
        <is>
          <t>&lt;=</t>
        </is>
      </c>
      <c r="E79" s="11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7" t="inlineStr">
        <is>
          <t>R-02</t>
        </is>
      </c>
      <c r="C80" s="11" t="inlineStr">
        <is>
          <t>SUM(04.Loss amount@{Y})</t>
        </is>
      </c>
      <c r="D80" s="7" t="inlineStr">
        <is>
          <t>&lt;=</t>
        </is>
      </c>
      <c r="E80" s="11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7" t="inlineStr">
        <is>
          <t>R-09</t>
        </is>
      </c>
      <c r="C81" s="11" t="inlineStr">
        <is>
          <t>01.Year basis</t>
        </is>
      </c>
      <c r="D81" s="7" t="inlineStr">
        <is>
          <t>=</t>
        </is>
      </c>
      <c r="E81" s="11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7" t="inlineStr">
        <is>
          <t>R-10</t>
        </is>
      </c>
      <c r="C82" s="11" t="inlineStr">
        <is>
          <t>01.Year basis</t>
        </is>
      </c>
      <c r="D82" s="7" t="inlineStr">
        <is>
          <t>=</t>
        </is>
      </c>
      <c r="E82" s="11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7" t="inlineStr">
        <is>
          <t>Marker</t>
        </is>
      </c>
      <c r="C87" s="7" t="inlineStr">
        <is>
          <t>Meaning</t>
        </is>
      </c>
    </row>
    <row r="88">
      <c r="B88" s="12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2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2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2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2" t="inlineStr">
        <is>
          <t>Transpose_i</t>
        </is>
      </c>
      <c r="C92" s="4" t="inlineStr">
        <is>
          <t>block i is transposed</t>
        </is>
      </c>
    </row>
    <row r="93">
      <c r="B93" s="12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2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2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2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14" t="inlineStr">
        <is>
          <t>Claim no.</t>
        </is>
      </c>
      <c r="C10" s="14" t="inlineStr">
        <is>
          <t>U/W Yr</t>
        </is>
      </c>
      <c r="D10" s="14" t="inlineStr">
        <is>
          <t>Description</t>
        </is>
      </c>
      <c r="E10" s="14" t="inlineStr">
        <is>
          <t>Gross incurred</t>
        </is>
      </c>
      <c r="F10" s="14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Turbine erection collapse, Gdansk</t>
        </is>
      </c>
      <c r="E12" s="18" t="n">
        <v>1420</v>
      </c>
      <c r="F12" s="22" t="n">
        <v>44294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Tunnel boring machine damage, Oslo</t>
        </is>
      </c>
      <c r="E13" s="18" t="n">
        <v>2310</v>
      </c>
      <c r="F13" s="22" t="n">
        <v>45007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2023</t>
        </is>
      </c>
      <c r="D14" s="4" t="inlineStr">
        <is>
          <t>Crane failure, Rotterdam yard</t>
        </is>
      </c>
      <c r="E14" s="18" t="n">
        <v>860</v>
      </c>
      <c r="F14" s="22" t="n">
        <v>45203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2024</t>
        </is>
      </c>
      <c r="D15" s="4" t="inlineStr">
        <is>
          <t>Generator fire, Valencia plant</t>
        </is>
      </c>
      <c r="E15" s="18" t="n">
        <v>1975</v>
      </c>
      <c r="F15" s="22" t="n">
        <v>45503</v>
      </c>
      <c r="J15" s="19">
        <f>ROW()</f>
        <v>15</v>
      </c>
    </row>
    <row r="16">
      <c r="B16" s="4" t="inlineStr">
        <is>
          <t>CL-2104</t>
        </is>
      </c>
      <c r="C16" s="17" t="inlineStr">
        <is>
          <t>2025</t>
        </is>
      </c>
      <c r="D16" s="4" t="inlineStr">
        <is>
          <t>Cable laying barge grounding, Kiel</t>
        </is>
      </c>
      <c r="E16" s="18" t="n">
        <v>1180</v>
      </c>
      <c r="F16" s="22" t="n">
        <v>45789</v>
      </c>
      <c r="J16" s="19">
        <f>ROW()</f>
        <v>16</v>
      </c>
    </row>
    <row r="17">
      <c r="C17" s="7" t="inlineStr">
        <is>
          <t>Total</t>
        </is>
      </c>
      <c r="E17" s="20">
        <f>SUM(E12:E16)</f>
        <v>7745</v>
      </c>
      <c r="G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H10" s="14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7" t="inlineStr">
        <is>
          <t>2021</t>
        </is>
      </c>
      <c r="D12" s="4" t="inlineStr">
        <is>
          <t>Flood, Saxony</t>
        </is>
      </c>
      <c r="E12" s="18" t="n">
        <v>1150</v>
      </c>
      <c r="F12" s="22" t="n">
        <v>44391</v>
      </c>
      <c r="G12" s="22" t="n">
        <v>44395</v>
      </c>
      <c r="H12" s="18" t="n">
        <v>24</v>
      </c>
      <c r="J12" s="19">
        <f>ROW()</f>
        <v>12</v>
      </c>
    </row>
    <row r="13">
      <c r="B13" s="4" t="inlineStr">
        <is>
          <t>EV-302</t>
        </is>
      </c>
      <c r="C13" s="17" t="inlineStr">
        <is>
          <t>2023</t>
        </is>
      </c>
      <c r="D13" s="4" t="inlineStr">
        <is>
          <t>Hailstorm, Po Valley</t>
        </is>
      </c>
      <c r="E13" s="18" t="n">
        <v>900</v>
      </c>
      <c r="F13" s="22" t="n">
        <v>45465</v>
      </c>
      <c r="G13" s="22" t="n">
        <v>45465</v>
      </c>
      <c r="H13" s="18" t="n">
        <v>18</v>
      </c>
      <c r="J13" s="19">
        <f>ROW()</f>
        <v>13</v>
      </c>
    </row>
    <row r="14">
      <c r="B14" s="4" t="inlineStr">
        <is>
          <t>EV-302</t>
        </is>
      </c>
      <c r="C14" s="17" t="inlineStr">
        <is>
          <t>2024</t>
        </is>
      </c>
      <c r="D14" s="4" t="inlineStr">
        <is>
          <t>Hailstorm, Po Valley</t>
        </is>
      </c>
      <c r="E14" s="18" t="n">
        <v>2600</v>
      </c>
      <c r="F14" s="22" t="n">
        <v>45465</v>
      </c>
      <c r="G14" s="22" t="n">
        <v>45465</v>
      </c>
      <c r="H14" s="18" t="n">
        <v>41</v>
      </c>
      <c r="J14" s="19">
        <f>ROW()</f>
        <v>14</v>
      </c>
    </row>
    <row r="15">
      <c r="B15" s="7" t="inlineStr">
        <is>
          <t>Total</t>
        </is>
      </c>
      <c r="E15" s="20">
        <f>SUM(E12:E14)</f>
        <v>4650</v>
      </c>
      <c r="H15" s="20">
        <f>SUM(H12:H14)</f>
        <v>83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3" t="inlineStr">
        <is>
          <t>Section_1 = Engineering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8" t="n">
        <v>1150</v>
      </c>
      <c r="F12" s="18" t="n">
        <v>210</v>
      </c>
      <c r="G12" s="18" t="n">
        <v>96000</v>
      </c>
      <c r="J12" s="19">
        <f>ROW()</f>
        <v>12</v>
      </c>
    </row>
    <row r="13">
      <c r="B13" s="4" t="inlineStr">
        <is>
          <t>1 001 – 5 000</t>
        </is>
      </c>
      <c r="E13" s="18" t="n">
        <v>2800</v>
      </c>
      <c r="F13" s="18" t="n">
        <v>165</v>
      </c>
      <c r="G13" s="18" t="n">
        <v>430000</v>
      </c>
      <c r="J13" s="19">
        <f>ROW()</f>
        <v>13</v>
      </c>
    </row>
    <row r="14">
      <c r="B14" s="4" t="inlineStr">
        <is>
          <t>5 001 – 20 000</t>
        </is>
      </c>
      <c r="E14" s="18" t="n">
        <v>3450</v>
      </c>
      <c r="F14" s="18" t="n">
        <v>78</v>
      </c>
      <c r="G14" s="18" t="n">
        <v>780000</v>
      </c>
      <c r="J14" s="19">
        <f>ROW()</f>
        <v>14</v>
      </c>
    </row>
    <row r="15">
      <c r="B15" s="4" t="inlineStr">
        <is>
          <t>&gt; 20 000</t>
        </is>
      </c>
      <c r="E15" s="18" t="n">
        <v>2900</v>
      </c>
      <c r="F15" s="18" t="n">
        <v>27</v>
      </c>
      <c r="G15" s="18" t="n">
        <v>940000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10300</v>
      </c>
      <c r="F16" s="20">
        <f>SUM(F12:F15)</f>
        <v>480</v>
      </c>
      <c r="G16" s="20">
        <f>SUM(G12:G15)</f>
        <v>2246000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2026-08-17T22:46:04Z</dcterms:created>
  <dcterms:modified xsi:type="dcterms:W3CDTF">2026-08-17T22:46:04Z</dcterms:modified>
</cp:coreProperties>
</file>