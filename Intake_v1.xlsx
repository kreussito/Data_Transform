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. NC+Interdep" sheetId="1" state="visible" r:id="rId1"/>
    <sheet name="01. History" sheetId="2" state="visible" r:id="rId2"/>
    <sheet name="01. History_Transposed" sheetId="3" state="visible" r:id="rId3"/>
    <sheet name="02. EPI Projec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  <font>
      <name val="Arial"/>
      <i val="1"/>
      <color rgb="00999999"/>
      <sz val="10"/>
    </font>
    <font>
      <name val="Consolas"/>
      <sz val="9"/>
    </font>
    <font>
      <name val="Arial"/>
      <b val="1"/>
      <color rgb="007F6000"/>
      <sz val="10"/>
    </font>
    <font>
      <name val="Arial"/>
      <color rgb="007F6000"/>
      <sz val="10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5" fillId="0" borderId="0" pivotButton="0" quotePrefix="0" xfId="0"/>
    <xf numFmtId="0" fontId="3" fillId="0" borderId="0" pivotButton="0" quotePrefix="0" xfId="0"/>
    <xf numFmtId="1" fontId="4" fillId="4" borderId="0" pivotButton="0" quotePrefix="0" xfId="0"/>
    <xf numFmtId="0" fontId="6" fillId="0" borderId="0" pivotButton="0" quotePrefix="0" xfId="0"/>
    <xf numFmtId="0" fontId="7" fillId="4" borderId="0" pivotButton="0" quotePrefix="0" xfId="0"/>
    <xf numFmtId="0" fontId="8" fillId="4" borderId="1" pivotButton="0" quotePrefix="0" xfId="0"/>
    <xf numFmtId="0" fontId="7" fillId="4" borderId="1" pivotButton="0" quotePrefix="0" xfId="0"/>
    <xf numFmtId="0" fontId="3" fillId="3" borderId="1" pivotButton="0" quotePrefix="0" xfId="0"/>
    <xf numFmtId="1" fontId="4" fillId="0" borderId="0" pivotButton="0" quotePrefix="0" xfId="0"/>
    <xf numFmtId="3" fontId="4" fillId="0" borderId="0" pivotButton="0" quotePrefix="0" xfId="0"/>
    <xf numFmtId="164" fontId="4" fillId="0" borderId="0" pivotButton="0" quotePrefix="0" xfId="0"/>
    <xf numFmtId="2" fontId="4" fillId="0" borderId="0" pivotButton="0" quotePrefix="0" xfId="0"/>
    <xf numFmtId="0" fontId="4" fillId="5" borderId="1" pivotButton="0" quotePrefix="0" xfId="0"/>
    <xf numFmtId="49" fontId="4" fillId="0" borderId="0" pivotButton="0" quotePrefix="0" xfId="0"/>
    <xf numFmtId="3" fontId="3" fillId="0" borderId="0" pivotButton="0" quotePrefix="0" xfId="0"/>
    <xf numFmtId="9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T61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0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</cols>
  <sheetData>
    <row r="1">
      <c r="B1" s="1" t="inlineStr">
        <is>
          <t>00. Nomenclature &amp; Interdependencies</t>
        </is>
      </c>
    </row>
    <row r="2">
      <c r="B2" s="2" t="inlineStr">
        <is>
          <t>The frame: what each sheet holds, what the names mean, what must tie. Column A is intentionally empty — no markers in this sheet.</t>
        </is>
      </c>
    </row>
    <row r="3">
      <c r="B3" s="2" t="inlineStr">
        <is>
          <t>Rows 7-9 are provisional sketches, not yet specified.</t>
        </is>
      </c>
    </row>
    <row r="4">
      <c r="B4" s="3" t="inlineStr">
        <is>
          <t>Sheet name</t>
        </is>
      </c>
      <c r="C4" s="3" t="inlineStr">
        <is>
          <t>Key</t>
        </is>
      </c>
      <c r="D4" s="3" t="inlineStr">
        <is>
          <t>Headers  →</t>
        </is>
      </c>
      <c r="N4" s="3" t="inlineStr">
        <is>
          <t>Attributes  →</t>
        </is>
      </c>
    </row>
    <row r="5">
      <c r="B5" s="4" t="inlineStr">
        <is>
          <t>01. History</t>
        </is>
      </c>
      <c r="C5" s="4" t="inlineStr">
        <is>
          <t>01 History</t>
        </is>
      </c>
      <c r="D5" s="5" t="inlineStr">
        <is>
          <t>Year</t>
        </is>
      </c>
      <c r="E5" s="5" t="inlineStr">
        <is>
          <t>Premium</t>
        </is>
      </c>
      <c r="F5" s="5" t="inlineStr">
        <is>
          <t>Incurred Losses</t>
        </is>
      </c>
      <c r="N5" s="6" t="inlineStr">
        <is>
          <t>Currency</t>
        </is>
      </c>
      <c r="O5" s="6" t="inlineStr">
        <is>
          <t>Scale</t>
        </is>
      </c>
      <c r="P5" s="6" t="inlineStr">
        <is>
          <t>Year basis</t>
        </is>
      </c>
      <c r="Q5" s="6" t="inlineStr">
        <is>
          <t>Premium basis</t>
        </is>
      </c>
      <c r="R5" s="6" t="inlineStr">
        <is>
          <t>Loss basis</t>
        </is>
      </c>
      <c r="S5" s="6" t="inlineStr">
        <is>
          <t>PF transfer</t>
        </is>
      </c>
      <c r="T5" s="6" t="inlineStr">
        <is>
          <t>As at</t>
        </is>
      </c>
    </row>
    <row r="6">
      <c r="B6" s="4" t="inlineStr">
        <is>
          <t>02. EPI Projections</t>
        </is>
      </c>
      <c r="C6" s="4" t="inlineStr">
        <is>
          <t>02 EPI</t>
        </is>
      </c>
      <c r="D6" s="5" t="inlineStr">
        <is>
          <t>Year</t>
        </is>
      </c>
      <c r="E6" s="5" t="inlineStr">
        <is>
          <t>EPI</t>
        </is>
      </c>
      <c r="N6" s="6" t="inlineStr">
        <is>
          <t>Currency</t>
        </is>
      </c>
      <c r="O6" s="6" t="inlineStr">
        <is>
          <t>Scale</t>
        </is>
      </c>
      <c r="P6" s="6" t="inlineStr">
        <is>
          <t>Year basis</t>
        </is>
      </c>
      <c r="Q6" s="6" t="inlineStr">
        <is>
          <t>Premium basis</t>
        </is>
      </c>
      <c r="R6" s="6" t="inlineStr">
        <is>
          <t>As at</t>
        </is>
      </c>
    </row>
    <row r="7">
      <c r="B7" s="7" t="inlineStr">
        <is>
          <t>03. Large Losses</t>
        </is>
      </c>
      <c r="C7" s="7" t="inlineStr">
        <is>
          <t>03 Large</t>
        </is>
      </c>
      <c r="D7" s="7" t="inlineStr">
        <is>
          <t>Year</t>
        </is>
      </c>
      <c r="E7" s="7" t="inlineStr">
        <is>
          <t>Loss Date</t>
        </is>
      </c>
      <c r="F7" s="7" t="inlineStr">
        <is>
          <t>Claim Reference</t>
        </is>
      </c>
      <c r="G7" s="7" t="inlineStr">
        <is>
          <t>Incurred Losses</t>
        </is>
      </c>
      <c r="N7" s="7" t="inlineStr">
        <is>
          <t>Currency</t>
        </is>
      </c>
      <c r="O7" s="7" t="inlineStr">
        <is>
          <t>Scale</t>
        </is>
      </c>
      <c r="P7" s="7" t="inlineStr">
        <is>
          <t>Year basis</t>
        </is>
      </c>
      <c r="Q7" s="7" t="inlineStr">
        <is>
          <t>Loss basis</t>
        </is>
      </c>
      <c r="R7" s="7" t="inlineStr">
        <is>
          <t>Threshold</t>
        </is>
      </c>
      <c r="S7" s="7" t="inlineStr">
        <is>
          <t>As at</t>
        </is>
      </c>
    </row>
    <row r="8">
      <c r="B8" s="7" t="inlineStr">
        <is>
          <t>04. Cat Losses</t>
        </is>
      </c>
      <c r="C8" s="7" t="inlineStr">
        <is>
          <t>04 Cat</t>
        </is>
      </c>
      <c r="D8" s="7" t="inlineStr">
        <is>
          <t>Year</t>
        </is>
      </c>
      <c r="E8" s="7" t="inlineStr">
        <is>
          <t>Event Date</t>
        </is>
      </c>
      <c r="F8" s="7" t="inlineStr">
        <is>
          <t>Event Name</t>
        </is>
      </c>
      <c r="G8" s="7" t="inlineStr">
        <is>
          <t>Incurred Losses</t>
        </is>
      </c>
      <c r="N8" s="7" t="inlineStr">
        <is>
          <t>Currency</t>
        </is>
      </c>
      <c r="O8" s="7" t="inlineStr">
        <is>
          <t>Scale</t>
        </is>
      </c>
      <c r="P8" s="7" t="inlineStr">
        <is>
          <t>Year basis</t>
        </is>
      </c>
      <c r="Q8" s="7" t="inlineStr">
        <is>
          <t>Loss basis</t>
        </is>
      </c>
      <c r="R8" s="7" t="inlineStr">
        <is>
          <t>As at</t>
        </is>
      </c>
    </row>
    <row r="9">
      <c r="B9" s="7" t="inlineStr">
        <is>
          <t>05. Risk Profiles</t>
        </is>
      </c>
      <c r="C9" s="7" t="inlineStr">
        <is>
          <t>05 Profile</t>
        </is>
      </c>
      <c r="D9" s="7" t="inlineStr">
        <is>
          <t>Band</t>
        </is>
      </c>
      <c r="E9" s="7" t="inlineStr">
        <is>
          <t>Number of Risks</t>
        </is>
      </c>
      <c r="F9" s="7" t="inlineStr">
        <is>
          <t>Sum Insured</t>
        </is>
      </c>
      <c r="G9" s="7" t="inlineStr">
        <is>
          <t>Premium</t>
        </is>
      </c>
      <c r="N9" s="7" t="inlineStr">
        <is>
          <t>Currency</t>
        </is>
      </c>
      <c r="O9" s="7" t="inlineStr">
        <is>
          <t>Scale</t>
        </is>
      </c>
      <c r="P9" s="7" t="inlineStr">
        <is>
          <t>Exposure basis</t>
        </is>
      </c>
      <c r="Q9" s="7" t="inlineStr">
        <is>
          <t>As at</t>
        </is>
      </c>
    </row>
    <row r="10">
      <c r="B10" s="4" t="inlineStr">
        <is>
          <t>01. History_Transposed</t>
        </is>
      </c>
      <c r="C10" s="4" t="inlineStr">
        <is>
          <t>01 History_T</t>
        </is>
      </c>
      <c r="D10" s="5" t="inlineStr">
        <is>
          <t>Year</t>
        </is>
      </c>
      <c r="E10" s="5" t="inlineStr">
        <is>
          <t>Premium</t>
        </is>
      </c>
      <c r="F10" s="5" t="inlineStr">
        <is>
          <t>Incurred Losses</t>
        </is>
      </c>
      <c r="N10" s="6" t="inlineStr">
        <is>
          <t>Currency</t>
        </is>
      </c>
      <c r="O10" s="6" t="inlineStr">
        <is>
          <t>Scale</t>
        </is>
      </c>
      <c r="P10" s="6" t="inlineStr">
        <is>
          <t>Year basis</t>
        </is>
      </c>
      <c r="Q10" s="6" t="inlineStr">
        <is>
          <t>Premium basis</t>
        </is>
      </c>
      <c r="R10" s="6" t="inlineStr">
        <is>
          <t>Loss basis</t>
        </is>
      </c>
      <c r="S10" s="6" t="inlineStr">
        <is>
          <t>PF transfer</t>
        </is>
      </c>
      <c r="T10" s="6" t="inlineStr">
        <is>
          <t>As at</t>
        </is>
      </c>
    </row>
    <row r="12">
      <c r="B12" s="3" t="inlineStr">
        <is>
          <t>⟦GLOBAL⟧</t>
        </is>
      </c>
    </row>
    <row r="13">
      <c r="B13" s="8" t="inlineStr">
        <is>
          <t>Attribute</t>
        </is>
      </c>
      <c r="C13" s="8" t="inlineStr">
        <is>
          <t>Value</t>
        </is>
      </c>
    </row>
    <row r="14">
      <c r="B14" s="4" t="inlineStr">
        <is>
          <t>Actual year</t>
        </is>
      </c>
      <c r="C14" s="9" t="n">
        <v>2025</v>
      </c>
    </row>
    <row r="15">
      <c r="B15" s="4" t="inlineStr">
        <is>
          <t>Cedent</t>
        </is>
      </c>
      <c r="C15" s="6" t="inlineStr">
        <is>
          <t>Example Insurance SA</t>
        </is>
      </c>
    </row>
    <row r="16">
      <c r="B16" s="4" t="inlineStr">
        <is>
          <t>Treaty</t>
        </is>
      </c>
      <c r="C16" s="6" t="inlineStr">
        <is>
          <t>Property per Risk XL</t>
        </is>
      </c>
    </row>
    <row r="18">
      <c r="B18" s="3" t="inlineStr">
        <is>
          <t>⟦TYPES⟧</t>
        </is>
      </c>
    </row>
    <row r="19">
      <c r="B19" s="8" t="inlineStr">
        <is>
          <t>Field</t>
        </is>
      </c>
      <c r="C19" s="8" t="inlineStr">
        <is>
          <t>Type</t>
        </is>
      </c>
    </row>
    <row r="20">
      <c r="B20" s="4" t="inlineStr">
        <is>
          <t>Year</t>
        </is>
      </c>
      <c r="C20" s="5" t="inlineStr">
        <is>
          <t>text</t>
        </is>
      </c>
    </row>
    <row r="21">
      <c r="B21" s="4" t="inlineStr">
        <is>
          <t>Premium</t>
        </is>
      </c>
      <c r="C21" s="5" t="inlineStr">
        <is>
          <t>number</t>
        </is>
      </c>
    </row>
    <row r="22">
      <c r="B22" s="4" t="inlineStr">
        <is>
          <t>Incurred Losses</t>
        </is>
      </c>
      <c r="C22" s="5" t="inlineStr">
        <is>
          <t>number</t>
        </is>
      </c>
    </row>
    <row r="23">
      <c r="B23" s="4" t="inlineStr">
        <is>
          <t>EPI</t>
        </is>
      </c>
      <c r="C23" s="5" t="inlineStr">
        <is>
          <t>number</t>
        </is>
      </c>
    </row>
    <row r="24">
      <c r="B24" s="4" t="inlineStr">
        <is>
          <t>Band</t>
        </is>
      </c>
      <c r="C24" s="5" t="inlineStr">
        <is>
          <t>text</t>
        </is>
      </c>
    </row>
    <row r="25">
      <c r="B25" s="4" t="inlineStr">
        <is>
          <t>Number of Risks</t>
        </is>
      </c>
      <c r="C25" s="5" t="inlineStr">
        <is>
          <t>number</t>
        </is>
      </c>
    </row>
    <row r="26">
      <c r="B26" s="4" t="inlineStr">
        <is>
          <t>Sum Insured</t>
        </is>
      </c>
      <c r="C26" s="5" t="inlineStr">
        <is>
          <t>number</t>
        </is>
      </c>
    </row>
    <row r="27">
      <c r="B27" s="4" t="inlineStr">
        <is>
          <t>Claim Reference</t>
        </is>
      </c>
      <c r="C27" s="5" t="inlineStr">
        <is>
          <t>text</t>
        </is>
      </c>
    </row>
    <row r="28">
      <c r="B28" s="4" t="inlineStr">
        <is>
          <t>Event Name</t>
        </is>
      </c>
      <c r="C28" s="5" t="inlineStr">
        <is>
          <t>text</t>
        </is>
      </c>
    </row>
    <row r="29">
      <c r="B29" s="4" t="inlineStr">
        <is>
          <t>Loss Date</t>
        </is>
      </c>
      <c r="C29" s="5" t="inlineStr">
        <is>
          <t>text</t>
        </is>
      </c>
    </row>
    <row r="30">
      <c r="B30" s="4" t="inlineStr">
        <is>
          <t>Event Date</t>
        </is>
      </c>
      <c r="C30" s="5" t="inlineStr">
        <is>
          <t>text</t>
        </is>
      </c>
    </row>
    <row r="32">
      <c r="B32" s="3" t="inlineStr">
        <is>
          <t>⟦VOCABULARY⟧</t>
        </is>
      </c>
    </row>
    <row r="33">
      <c r="B33" s="8" t="inlineStr">
        <is>
          <t>Attribute</t>
        </is>
      </c>
      <c r="C33" s="8" t="inlineStr">
        <is>
          <t>Permitted values</t>
        </is>
      </c>
    </row>
    <row r="34">
      <c r="B34" s="4" t="inlineStr">
        <is>
          <t>Year basis</t>
        </is>
      </c>
      <c r="C34" s="4" t="inlineStr">
        <is>
          <t>UW | Occurrence</t>
        </is>
      </c>
    </row>
    <row r="35">
      <c r="B35" s="4" t="inlineStr">
        <is>
          <t>Premium basis</t>
        </is>
      </c>
      <c r="C35" s="4" t="inlineStr">
        <is>
          <t>GWP | GNPI | Written | Earned | Signed</t>
        </is>
      </c>
    </row>
    <row r="36">
      <c r="B36" s="4" t="inlineStr">
        <is>
          <t>Loss basis</t>
        </is>
      </c>
      <c r="C36" s="4" t="inlineStr">
        <is>
          <t>Paid | Incurred</t>
        </is>
      </c>
    </row>
    <row r="37">
      <c r="B37" s="4" t="inlineStr">
        <is>
          <t>PF transfer</t>
        </is>
      </c>
      <c r="C37" s="4" t="inlineStr">
        <is>
          <t>with clean cut | without clean cut | none</t>
        </is>
      </c>
    </row>
    <row r="38">
      <c r="B38" s="4" t="inlineStr">
        <is>
          <t>Exposure basis</t>
        </is>
      </c>
      <c r="C38" s="4" t="inlineStr">
        <is>
          <t>Sum Insured | EML | PML | MPL</t>
        </is>
      </c>
    </row>
    <row r="39">
      <c r="B39" s="4" t="inlineStr">
        <is>
          <t>Scale</t>
        </is>
      </c>
      <c r="C39" s="4" t="inlineStr">
        <is>
          <t>1 | 1,000 | 1,000,000</t>
        </is>
      </c>
    </row>
    <row r="40">
      <c r="B40" s="4" t="inlineStr">
        <is>
          <t>Currency</t>
        </is>
      </c>
      <c r="C40" s="4" t="inlineStr">
        <is>
          <t>ISO 4217</t>
        </is>
      </c>
    </row>
    <row r="43">
      <c r="B43" s="3" t="inlineStr">
        <is>
          <t>⟦RULES⟧</t>
        </is>
      </c>
    </row>
    <row r="44">
      <c r="B44" s="8" t="inlineStr">
        <is>
          <t>ID</t>
        </is>
      </c>
      <c r="C44" s="8" t="inlineStr">
        <is>
          <t>Left</t>
        </is>
      </c>
      <c r="D44" s="8" t="inlineStr">
        <is>
          <t>Rel</t>
        </is>
      </c>
      <c r="E44" s="8" t="inlineStr">
        <is>
          <t>Right</t>
        </is>
      </c>
      <c r="F44" s="8" t="inlineStr">
        <is>
          <t>Tolerance</t>
        </is>
      </c>
      <c r="G44" s="8" t="inlineStr">
        <is>
          <t>Severity</t>
        </is>
      </c>
      <c r="H44" s="8" t="inlineStr">
        <is>
          <t>Note</t>
        </is>
      </c>
    </row>
    <row r="45">
      <c r="B45" s="8" t="inlineStr">
        <is>
          <t>R-05</t>
        </is>
      </c>
      <c r="C45" s="10" t="inlineStr">
        <is>
          <t>01 History.Premium@{N} 9 months</t>
        </is>
      </c>
      <c r="D45" s="8" t="inlineStr">
        <is>
          <t>=</t>
        </is>
      </c>
      <c r="E45" s="10" t="inlineStr">
        <is>
          <t>02 EPI.EPI@{N} 9 months</t>
        </is>
      </c>
      <c r="F45" s="4" t="n">
        <v>1</v>
      </c>
      <c r="G45" s="4" t="inlineStr">
        <is>
          <t>error</t>
        </is>
      </c>
      <c r="H45" s="2" t="inlineStr">
        <is>
          <t>same nine months reported in two sheets</t>
        </is>
      </c>
    </row>
    <row r="46">
      <c r="B46" s="8" t="inlineStr">
        <is>
          <t>R-06</t>
        </is>
      </c>
      <c r="C46" s="10" t="inlineStr">
        <is>
          <t>01 History.Premium@{N}</t>
        </is>
      </c>
      <c r="D46" s="8" t="inlineStr">
        <is>
          <t>=</t>
        </is>
      </c>
      <c r="E46" s="10" t="inlineStr">
        <is>
          <t>02 EPI.EPI@{N} re-est</t>
        </is>
      </c>
      <c r="F46" s="4" t="n">
        <v>1</v>
      </c>
      <c r="G46" s="4" t="inlineStr">
        <is>
          <t>error</t>
        </is>
      </c>
      <c r="H46" s="2" t="inlineStr">
        <is>
          <t>a full-year N in History is an estimate, not an actual</t>
        </is>
      </c>
    </row>
    <row r="47">
      <c r="B47" s="8" t="inlineStr">
        <is>
          <t>R-07</t>
        </is>
      </c>
      <c r="C47" s="10" t="inlineStr">
        <is>
          <t>02 EPI.EPI@{N} re-est</t>
        </is>
      </c>
      <c r="D47" s="8" t="inlineStr">
        <is>
          <t>&gt;=</t>
        </is>
      </c>
      <c r="E47" s="10" t="inlineStr">
        <is>
          <t>02 EPI.EPI@{N} 9 months</t>
        </is>
      </c>
      <c r="F47" s="4" t="n">
        <v>0</v>
      </c>
      <c r="G47" s="4" t="inlineStr">
        <is>
          <t>error</t>
        </is>
      </c>
      <c r="H47" s="2" t="inlineStr">
        <is>
          <t>premium accrues; a re-estimate cannot fall below what is booked</t>
        </is>
      </c>
    </row>
    <row r="49">
      <c r="B49" s="2" t="inlineStr">
        <is>
          <t>Form: &lt;key&gt;.&lt;field&gt;@&lt;record&gt;.  {N} resolves from ⟦GLOBAL⟧; records match on leading number, then suffix. A rule is skipped, not guessed, when Premium basis / Currency differ.</t>
        </is>
      </c>
    </row>
    <row r="51">
      <c r="B51" s="3" t="inlineStr">
        <is>
          <t>⟦MARKERS⟧  —  written in column A of every other sheet</t>
        </is>
      </c>
    </row>
    <row r="52">
      <c r="B52" s="8" t="inlineStr">
        <is>
          <t>Marker</t>
        </is>
      </c>
      <c r="C52" s="8" t="inlineStr">
        <is>
          <t>Meaning</t>
        </is>
      </c>
    </row>
    <row r="53">
      <c r="B53" s="11" t="inlineStr">
        <is>
          <t>Header_i</t>
        </is>
      </c>
      <c r="C53" s="4" t="inlineStr">
        <is>
          <t>row-wise: this row is block i's extraction row (declared labels only)</t>
        </is>
      </c>
    </row>
    <row r="54">
      <c r="B54" s="11" t="inlineStr">
        <is>
          <t>Header_i = &lt;col&gt;</t>
        </is>
      </c>
      <c r="C54" s="4" t="inlineStr">
        <is>
          <t>transposed: this column is block i's extraction column</t>
        </is>
      </c>
    </row>
    <row r="55">
      <c r="B55" s="11" t="inlineStr">
        <is>
          <t>Info_i = &lt;col&gt;</t>
        </is>
      </c>
      <c r="C55" s="4" t="inlineStr">
        <is>
          <t>row-wise: this column holds the record selectors, =ROW()</t>
        </is>
      </c>
    </row>
    <row r="56">
      <c r="B56" s="11" t="inlineStr">
        <is>
          <t>Info_i = &lt;row&gt;</t>
        </is>
      </c>
      <c r="C56" s="4" t="inlineStr">
        <is>
          <t>transposed: this row holds the record selectors, =COLUMN()</t>
        </is>
      </c>
    </row>
    <row r="57">
      <c r="B57" s="11" t="inlineStr">
        <is>
          <t>Transpose_i</t>
        </is>
      </c>
      <c r="C57" s="4" t="inlineStr">
        <is>
          <t>block i is transposed</t>
        </is>
      </c>
    </row>
    <row r="58">
      <c r="B58" s="11" t="inlineStr">
        <is>
          <t>&lt;Attribute&gt; = &lt;value&gt;</t>
        </is>
      </c>
      <c r="C58" s="4" t="inlineStr">
        <is>
          <t>an attribute of the sheet (unsuffixed) or block i (suffixed _i)</t>
        </is>
      </c>
    </row>
    <row r="59">
      <c r="B59" s="11" t="inlineStr">
        <is>
          <t>H_&lt;Attribute&gt; = &lt;val&gt;</t>
        </is>
      </c>
      <c r="C59" s="4" t="inlineStr">
        <is>
          <t>the same, declared as a hypothesis — raises a query</t>
        </is>
      </c>
    </row>
    <row r="61">
      <c r="B61" s="8" t="inlineStr">
        <is>
          <t>No Header_i anywhere in column A  →  nothing is extracted from that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4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46" customWidth="1" min="8" max="8"/>
    <col width="10" customWidth="1" min="12" max="12"/>
  </cols>
  <sheetData>
    <row r="1">
      <c r="B1" s="1" t="inlineStr">
        <is>
          <t>01. History — row-wise reference block</t>
        </is>
      </c>
    </row>
    <row r="2">
      <c r="A2" s="12" t="inlineStr">
        <is>
          <t>Currency = USD</t>
        </is>
      </c>
      <c r="B2" s="8" t="inlineStr">
        <is>
          <t>Treaty XYZ — Property per Risk XL</t>
        </is>
      </c>
    </row>
    <row r="3">
      <c r="A3" s="12" t="inlineStr">
        <is>
          <t>Scale = 1,000</t>
        </is>
      </c>
    </row>
    <row r="4">
      <c r="A4" s="12" t="inlineStr">
        <is>
          <t>H_Year basis = UW</t>
        </is>
      </c>
    </row>
    <row r="5">
      <c r="A5" s="12" t="inlineStr">
        <is>
          <t>Premium basis = GNPI</t>
        </is>
      </c>
    </row>
    <row r="6">
      <c r="A6" s="12" t="inlineStr">
        <is>
          <t>H_Loss basis = Incurred</t>
        </is>
      </c>
    </row>
    <row r="7">
      <c r="B7" s="7" t="inlineStr">
        <is>
          <t>UW Year</t>
        </is>
      </c>
      <c r="C7" s="7" t="inlineStr">
        <is>
          <t>Policies</t>
        </is>
      </c>
      <c r="D7" s="7" t="inlineStr">
        <is>
          <t>Prem.</t>
        </is>
      </c>
      <c r="E7" s="7" t="inlineStr">
        <is>
          <t>Comm. %</t>
        </is>
      </c>
      <c r="F7" s="7" t="inlineStr">
        <is>
          <t>Rate</t>
        </is>
      </c>
      <c r="G7" s="7" t="inlineStr">
        <is>
          <t>Incurred</t>
        </is>
      </c>
      <c r="H7" s="2" t="inlineStr">
        <is>
          <t>← source header, never read</t>
        </is>
      </c>
      <c r="L7" s="2" t="inlineStr">
        <is>
          <t>selector</t>
        </is>
      </c>
    </row>
    <row r="8">
      <c r="A8" s="13" t="inlineStr">
        <is>
          <t>Header_1</t>
        </is>
      </c>
      <c r="B8" s="14" t="inlineStr">
        <is>
          <t>Year</t>
        </is>
      </c>
      <c r="D8" s="14" t="inlineStr">
        <is>
          <t>Premium</t>
        </is>
      </c>
      <c r="G8" s="14" t="inlineStr">
        <is>
          <t>Incurred Losses</t>
        </is>
      </c>
      <c r="H8" s="2" t="inlineStr">
        <is>
          <t>← extraction row (Header_1): blanks mean 'not extracted'</t>
        </is>
      </c>
    </row>
    <row r="9">
      <c r="B9" s="15" t="n">
        <v>2021</v>
      </c>
      <c r="C9" s="16" t="n">
        <v>1240</v>
      </c>
      <c r="D9" s="16" t="n">
        <v>15900</v>
      </c>
      <c r="E9" s="17" t="n">
        <v>0.225</v>
      </c>
      <c r="F9" s="18" t="n">
        <v>1.02</v>
      </c>
      <c r="G9" s="16" t="n">
        <v>14930</v>
      </c>
      <c r="L9" s="19">
        <f>ROW()</f>
        <v>9</v>
      </c>
    </row>
    <row r="10">
      <c r="B10" s="15" t="n">
        <v>2022</v>
      </c>
      <c r="C10" s="16" t="n">
        <v>1310</v>
      </c>
      <c r="D10" s="16" t="n">
        <v>16740</v>
      </c>
      <c r="E10" s="17" t="n">
        <v>0.225</v>
      </c>
      <c r="F10" s="18" t="n">
        <v>1.04</v>
      </c>
      <c r="G10" s="16" t="n">
        <v>10030</v>
      </c>
      <c r="L10" s="19">
        <f>ROW()</f>
        <v>10</v>
      </c>
    </row>
    <row r="11">
      <c r="B11" s="15" t="n">
        <v>2023</v>
      </c>
      <c r="C11" s="16" t="n">
        <v>1395</v>
      </c>
      <c r="D11" s="16" t="n">
        <v>17520</v>
      </c>
      <c r="E11" s="17" t="n">
        <v>0.23</v>
      </c>
      <c r="F11" s="18" t="n">
        <v>1.06</v>
      </c>
      <c r="G11" s="16" t="n">
        <v>12660</v>
      </c>
      <c r="L11" s="19">
        <f>ROW()</f>
        <v>11</v>
      </c>
    </row>
    <row r="12">
      <c r="B12" s="15" t="n">
        <v>2024</v>
      </c>
      <c r="C12" s="16" t="n">
        <v>1460</v>
      </c>
      <c r="D12" s="16" t="n">
        <v>18390</v>
      </c>
      <c r="E12" s="17" t="n">
        <v>0.23</v>
      </c>
      <c r="F12" s="18" t="n">
        <v>1.03</v>
      </c>
      <c r="G12" s="16" t="n">
        <v>11700</v>
      </c>
      <c r="L12" s="19">
        <f>ROW()</f>
        <v>12</v>
      </c>
    </row>
    <row r="13">
      <c r="B13" s="15" t="n">
        <v>2025</v>
      </c>
      <c r="C13" s="16" t="n">
        <v>1505</v>
      </c>
      <c r="D13" s="16" t="n">
        <v>19200</v>
      </c>
      <c r="E13" s="17" t="n">
        <v>0.235</v>
      </c>
      <c r="F13" s="18" t="n">
        <v>1.05</v>
      </c>
      <c r="G13" s="16" t="n">
        <v>10250</v>
      </c>
      <c r="L13" s="19">
        <f>ROW()</f>
        <v>13</v>
      </c>
    </row>
    <row r="14">
      <c r="B14" s="20" t="inlineStr">
        <is>
          <t>2025 9 months</t>
        </is>
      </c>
      <c r="C14" s="16" t="n">
        <v>1180</v>
      </c>
      <c r="D14" s="16" t="n">
        <v>14400</v>
      </c>
      <c r="E14" s="17" t="n">
        <v>0.235</v>
      </c>
      <c r="F14" s="18" t="n">
        <v>1.05</v>
      </c>
      <c r="G14" s="16" t="n">
        <v>7100</v>
      </c>
      <c r="L14" s="19">
        <f>ROW()</f>
        <v>14</v>
      </c>
    </row>
    <row r="15">
      <c r="A15" s="12" t="inlineStr">
        <is>
          <t>H_PF transfer = with clean cut</t>
        </is>
      </c>
      <c r="B15" s="8" t="inlineStr">
        <is>
          <t>Total</t>
        </is>
      </c>
      <c r="C15" s="21">
        <f>SUM(C9:C14)</f>
        <v>8090</v>
      </c>
      <c r="D15" s="21">
        <f>SUM(D9:D14)</f>
        <v>102150</v>
      </c>
      <c r="G15" s="21">
        <f>SUM(G9:G14)</f>
        <v>66670</v>
      </c>
      <c r="H15" s="2" t="inlineStr">
        <is>
          <t>← selector empty: excluded from extraction, reused as control</t>
        </is>
      </c>
    </row>
    <row r="17">
      <c r="A17" s="13" t="inlineStr">
        <is>
          <t>Info_1 = L</t>
        </is>
      </c>
    </row>
    <row r="18">
      <c r="A18" s="12" t="inlineStr">
        <is>
          <t>As at = 31.12.2025</t>
        </is>
      </c>
      <c r="B18" s="2" t="inlineStr">
        <is>
          <t>Note: 2025 shown both as a full year and as the first nine months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B1" s="1" t="inlineStr">
        <is>
          <t>01. History — transposed reference block (same data, same result)</t>
        </is>
      </c>
    </row>
    <row r="2">
      <c r="A2" s="12" t="inlineStr">
        <is>
          <t>Currency = USD</t>
        </is>
      </c>
    </row>
    <row r="3">
      <c r="A3" s="12" t="inlineStr">
        <is>
          <t>Scale = 1,000</t>
        </is>
      </c>
    </row>
    <row r="4">
      <c r="A4" s="12" t="inlineStr">
        <is>
          <t>H_Year basis = UW</t>
        </is>
      </c>
    </row>
    <row r="5">
      <c r="A5" s="13" t="inlineStr">
        <is>
          <t>Transpose_1</t>
        </is>
      </c>
    </row>
    <row r="6">
      <c r="A6" s="13" t="inlineStr">
        <is>
          <t>Header_1 = C</t>
        </is>
      </c>
    </row>
    <row r="7">
      <c r="A7" s="13" t="inlineStr">
        <is>
          <t>Info_1 = 16</t>
        </is>
      </c>
    </row>
    <row r="8">
      <c r="A8" s="12" t="inlineStr">
        <is>
          <t>Premium basis = GNPI</t>
        </is>
      </c>
      <c r="B8" s="7" t="inlineStr">
        <is>
          <t>UW Year</t>
        </is>
      </c>
      <c r="C8" s="14" t="inlineStr">
        <is>
          <t>Year</t>
        </is>
      </c>
      <c r="D8" s="15" t="n">
        <v>2021</v>
      </c>
      <c r="E8" s="15" t="n">
        <v>2022</v>
      </c>
      <c r="F8" s="15" t="n">
        <v>2023</v>
      </c>
      <c r="G8" s="15" t="n">
        <v>2024</v>
      </c>
      <c r="H8" s="15" t="n">
        <v>2025</v>
      </c>
      <c r="I8" s="20" t="inlineStr">
        <is>
          <t>2025 9 months</t>
        </is>
      </c>
      <c r="J8" s="8" t="inlineStr">
        <is>
          <t>Total</t>
        </is>
      </c>
    </row>
    <row r="9">
      <c r="B9" s="7" t="inlineStr">
        <is>
          <t>Policies</t>
        </is>
      </c>
      <c r="D9" s="16" t="n">
        <v>1240</v>
      </c>
      <c r="E9" s="16" t="n">
        <v>1310</v>
      </c>
      <c r="F9" s="16" t="n">
        <v>1395</v>
      </c>
      <c r="G9" s="16" t="n">
        <v>1460</v>
      </c>
      <c r="H9" s="16" t="n">
        <v>1505</v>
      </c>
      <c r="I9" s="16" t="n">
        <v>1180</v>
      </c>
      <c r="J9" s="21">
        <f>SUM(D9:I9)</f>
        <v>8090</v>
      </c>
    </row>
    <row r="10">
      <c r="A10" s="12" t="inlineStr">
        <is>
          <t>H_Loss basis = Incurred</t>
        </is>
      </c>
      <c r="B10" s="7" t="inlineStr">
        <is>
          <t>Prem.</t>
        </is>
      </c>
      <c r="C10" s="14" t="inlineStr">
        <is>
          <t>Premium</t>
        </is>
      </c>
      <c r="D10" s="16" t="n">
        <v>15900</v>
      </c>
      <c r="E10" s="16" t="n">
        <v>16740</v>
      </c>
      <c r="F10" s="16" t="n">
        <v>17520</v>
      </c>
      <c r="G10" s="16" t="n">
        <v>18390</v>
      </c>
      <c r="H10" s="16" t="n">
        <v>19200</v>
      </c>
      <c r="I10" s="16" t="n">
        <v>14400</v>
      </c>
      <c r="J10" s="21">
        <f>SUM(D10:I10)</f>
        <v>102150</v>
      </c>
    </row>
    <row r="11">
      <c r="B11" s="7" t="inlineStr">
        <is>
          <t>Comm. %</t>
        </is>
      </c>
      <c r="D11" s="17" t="n">
        <v>0.225</v>
      </c>
      <c r="E11" s="17" t="n">
        <v>0.225</v>
      </c>
      <c r="F11" s="17" t="n">
        <v>0.23</v>
      </c>
      <c r="G11" s="17" t="n">
        <v>0.23</v>
      </c>
      <c r="H11" s="17" t="n">
        <v>0.235</v>
      </c>
      <c r="I11" s="17" t="n">
        <v>0.235</v>
      </c>
    </row>
    <row r="12">
      <c r="B12" s="7" t="inlineStr">
        <is>
          <t>Rate</t>
        </is>
      </c>
      <c r="D12" s="18" t="n">
        <v>1.02</v>
      </c>
      <c r="E12" s="18" t="n">
        <v>1.04</v>
      </c>
      <c r="F12" s="18" t="n">
        <v>1.06</v>
      </c>
      <c r="G12" s="18" t="n">
        <v>1.03</v>
      </c>
      <c r="H12" s="18" t="n">
        <v>1.05</v>
      </c>
      <c r="I12" s="18" t="n">
        <v>1.05</v>
      </c>
    </row>
    <row r="13">
      <c r="A13" s="12" t="inlineStr">
        <is>
          <t>H_PF transfer = with clean cut</t>
        </is>
      </c>
      <c r="B13" s="7" t="inlineStr">
        <is>
          <t>Incurred</t>
        </is>
      </c>
      <c r="C13" s="14" t="inlineStr">
        <is>
          <t>Incurred Losses</t>
        </is>
      </c>
      <c r="D13" s="16" t="n">
        <v>14930</v>
      </c>
      <c r="E13" s="16" t="n">
        <v>10030</v>
      </c>
      <c r="F13" s="16" t="n">
        <v>12660</v>
      </c>
      <c r="G13" s="16" t="n">
        <v>11700</v>
      </c>
      <c r="H13" s="16" t="n">
        <v>10250</v>
      </c>
      <c r="I13" s="16" t="n">
        <v>7100</v>
      </c>
      <c r="J13" s="21">
        <f>SUM(D13:I13)</f>
        <v>66670</v>
      </c>
    </row>
    <row r="16">
      <c r="A16" s="12" t="inlineStr">
        <is>
          <t>As at = 31.12.2025</t>
        </is>
      </c>
      <c r="C16" s="2" t="inlineStr">
        <is>
          <t>selector →</t>
        </is>
      </c>
      <c r="D16" s="19">
        <f>COLUMN()</f>
        <v>4</v>
      </c>
      <c r="E16" s="19">
        <f>COLUMN()</f>
        <v>5</v>
      </c>
      <c r="F16" s="19">
        <f>COLUMN()</f>
        <v>6</v>
      </c>
      <c r="G16" s="19">
        <f>COLUMN()</f>
        <v>7</v>
      </c>
      <c r="H16" s="19">
        <f>COLUMN()</f>
        <v>8</v>
      </c>
      <c r="I16" s="19">
        <f>COLUMN()</f>
        <v>9</v>
      </c>
    </row>
    <row r="18">
      <c r="B18" s="2" t="inlineStr">
        <is>
          <t>Column B is the sheet's own labels and is never read. Column C is the extraction column named by Header_1.</t>
        </is>
      </c>
    </row>
    <row r="19">
      <c r="B19" s="2" t="inlineStr">
        <is>
          <t>The Total column has no selector: excluded from extraction, reused as control.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10" customWidth="1" min="4" max="4"/>
    <col width="30" customWidth="1" min="5" max="5"/>
    <col width="44" customWidth="1" min="6" max="6"/>
    <col width="10" customWidth="1" min="11" max="11"/>
  </cols>
  <sheetData>
    <row r="1">
      <c r="B1" s="1" t="inlineStr">
        <is>
          <t>02. EPI Projections — premium projections for N and N+1</t>
        </is>
      </c>
    </row>
    <row r="2">
      <c r="A2" s="12" t="inlineStr">
        <is>
          <t>Currency = USD</t>
        </is>
      </c>
    </row>
    <row r="3">
      <c r="A3" s="12" t="inlineStr">
        <is>
          <t>Scale = 1,000</t>
        </is>
      </c>
    </row>
    <row r="4">
      <c r="A4" s="12" t="inlineStr">
        <is>
          <t>Premium basis = GNPI</t>
        </is>
      </c>
    </row>
    <row r="5">
      <c r="A5" s="12" t="inlineStr">
        <is>
          <t>H_Year basis = UW</t>
        </is>
      </c>
    </row>
    <row r="6">
      <c r="B6" s="8" t="inlineStr">
        <is>
          <t>Treaty XYZ — Property per Risk XL</t>
        </is>
      </c>
    </row>
    <row r="7">
      <c r="B7" s="7" t="inlineStr">
        <is>
          <t>Period</t>
        </is>
      </c>
      <c r="C7" s="7" t="inlineStr">
        <is>
          <t>EPI (net)</t>
        </is>
      </c>
      <c r="D7" s="7" t="inlineStr">
        <is>
          <t>Share %</t>
        </is>
      </c>
      <c r="E7" s="7" t="inlineStr">
        <is>
          <t>Comment</t>
        </is>
      </c>
      <c r="F7" s="2" t="inlineStr">
        <is>
          <t>← source header, never read</t>
        </is>
      </c>
      <c r="K7" s="2" t="inlineStr">
        <is>
          <t>selector</t>
        </is>
      </c>
    </row>
    <row r="8">
      <c r="A8" s="13" t="inlineStr">
        <is>
          <t>Header_1</t>
        </is>
      </c>
      <c r="B8" s="14" t="inlineStr">
        <is>
          <t>Year</t>
        </is>
      </c>
      <c r="C8" s="14" t="inlineStr">
        <is>
          <t>EPI</t>
        </is>
      </c>
      <c r="F8" s="2" t="inlineStr">
        <is>
          <t>← extraction row: Share % and Comment are not declared in 00</t>
        </is>
      </c>
    </row>
    <row r="9">
      <c r="B9" s="20" t="inlineStr">
        <is>
          <t>2025 est</t>
        </is>
      </c>
      <c r="C9" s="16" t="n">
        <v>18500</v>
      </c>
      <c r="D9" s="22" t="n">
        <v>1</v>
      </c>
      <c r="E9" s="2" t="inlineStr">
        <is>
          <t>as advised at last renewal</t>
        </is>
      </c>
      <c r="K9" s="19">
        <f>ROW()</f>
        <v>9</v>
      </c>
    </row>
    <row r="10">
      <c r="B10" s="20" t="inlineStr">
        <is>
          <t>2025 9 months</t>
        </is>
      </c>
      <c r="C10" s="16" t="n">
        <v>14400</v>
      </c>
      <c r="D10" s="22" t="n">
        <v>0.75</v>
      </c>
      <c r="E10" s="2" t="inlineStr">
        <is>
          <t>booked to 30.09</t>
        </is>
      </c>
      <c r="K10" s="19">
        <f>ROW()</f>
        <v>10</v>
      </c>
    </row>
    <row r="11">
      <c r="B11" s="20" t="inlineStr">
        <is>
          <t>2025 re-est</t>
        </is>
      </c>
      <c r="C11" s="16" t="n">
        <v>19200</v>
      </c>
      <c r="D11" s="22" t="n">
        <v>1</v>
      </c>
      <c r="E11" s="2" t="inlineStr">
        <is>
          <t>current view</t>
        </is>
      </c>
      <c r="K11" s="19">
        <f>ROW()</f>
        <v>11</v>
      </c>
    </row>
    <row r="12">
      <c r="B12" s="20" t="inlineStr">
        <is>
          <t>2026</t>
        </is>
      </c>
      <c r="C12" s="16" t="n">
        <v>20900</v>
      </c>
      <c r="D12" s="22" t="n">
        <v>1</v>
      </c>
      <c r="E12" s="2" t="inlineStr">
        <is>
          <t>renewal projection</t>
        </is>
      </c>
      <c r="K12" s="19">
        <f>ROW()</f>
        <v>12</v>
      </c>
    </row>
    <row r="13">
      <c r="B13" s="20" t="inlineStr">
        <is>
          <t>2024 actual</t>
        </is>
      </c>
      <c r="C13" s="16" t="n">
        <v>17800</v>
      </c>
      <c r="E13" s="2" t="inlineStr">
        <is>
          <t>covered by 01. History</t>
        </is>
      </c>
      <c r="F13" s="2" t="inlineStr">
        <is>
          <t>← selector empty: not extracted here</t>
        </is>
      </c>
    </row>
    <row r="15">
      <c r="A15" s="13" t="inlineStr">
        <is>
          <t>Info_1 = K</t>
        </is>
      </c>
    </row>
    <row r="16">
      <c r="A16" s="12" t="inlineStr">
        <is>
          <t>As at = 31.12.2025</t>
        </is>
      </c>
    </row>
    <row r="17">
      <c r="B17" s="2" t="inlineStr">
        <is>
          <t>No total row: est, 9 months and re-est are three views of one year, so a sum of them would mean nothing.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2026-08-16T06:38:37Z</dcterms:created>
  <dcterms:modified xsi:type="dcterms:W3CDTF">2026-08-16T06:38:37Z</dcterms:modified>
</cp:coreProperties>
</file>