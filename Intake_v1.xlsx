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6" fillId="4" borderId="1" pivotButton="0" quotePrefix="0" xfId="0"/>
    <xf numFmtId="0" fontId="3" fillId="3" borderId="1" pivotButton="0" quotePrefix="0" xfId="0"/>
    <xf numFmtId="1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T34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Dictionary of names for humans. Column A is intentionally empty — no markers in this sheet.</t>
        </is>
      </c>
    </row>
    <row r="3">
      <c r="B3" s="2" t="inlineStr">
        <is>
          <t>Row 5 (dataset 01) is agreed. Rows 6-9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Currency</t>
        </is>
      </c>
      <c r="O5" s="6" t="inlineStr">
        <is>
          <t>Scale</t>
        </is>
      </c>
      <c r="P5" s="6" t="inlineStr">
        <is>
          <t>Year basis</t>
        </is>
      </c>
      <c r="Q5" s="6" t="inlineStr">
        <is>
          <t>Premium basis</t>
        </is>
      </c>
      <c r="R5" s="6" t="inlineStr">
        <is>
          <t>Loss basis</t>
        </is>
      </c>
      <c r="S5" s="6" t="inlineStr">
        <is>
          <t>PF transfer</t>
        </is>
      </c>
      <c r="T5" s="6" t="inlineStr">
        <is>
          <t>As at</t>
        </is>
      </c>
    </row>
    <row r="6">
      <c r="B6" s="7" t="inlineStr">
        <is>
          <t>02. EPI Projections</t>
        </is>
      </c>
      <c r="C6" s="7" t="inlineStr">
        <is>
          <t>02 EPI</t>
        </is>
      </c>
      <c r="D6" s="7" t="inlineStr">
        <is>
          <t>Year</t>
        </is>
      </c>
      <c r="E6" s="7" t="inlineStr">
        <is>
          <t>EPI</t>
        </is>
      </c>
      <c r="N6" s="7" t="inlineStr">
        <is>
          <t>Currency</t>
        </is>
      </c>
      <c r="O6" s="7" t="inlineStr">
        <is>
          <t>Scale</t>
        </is>
      </c>
      <c r="P6" s="7" t="inlineStr">
        <is>
          <t>Year basis</t>
        </is>
      </c>
      <c r="Q6" s="7" t="inlineStr">
        <is>
          <t>As at</t>
        </is>
      </c>
    </row>
    <row r="7">
      <c r="B7" s="7" t="inlineStr">
        <is>
          <t>03. Large Losses</t>
        </is>
      </c>
      <c r="C7" s="7" t="inlineStr">
        <is>
          <t>03 Large</t>
        </is>
      </c>
      <c r="D7" s="7" t="inlineStr">
        <is>
          <t>Year</t>
        </is>
      </c>
      <c r="E7" s="7" t="inlineStr">
        <is>
          <t>Loss Date</t>
        </is>
      </c>
      <c r="F7" s="7" t="inlineStr">
        <is>
          <t>Claim Reference</t>
        </is>
      </c>
      <c r="G7" s="7" t="inlineStr">
        <is>
          <t>Incurred Losses</t>
        </is>
      </c>
      <c r="N7" s="7" t="inlineStr">
        <is>
          <t>Currency</t>
        </is>
      </c>
      <c r="O7" s="7" t="inlineStr">
        <is>
          <t>Scale</t>
        </is>
      </c>
      <c r="P7" s="7" t="inlineStr">
        <is>
          <t>Year basis</t>
        </is>
      </c>
      <c r="Q7" s="7" t="inlineStr">
        <is>
          <t>Loss basis</t>
        </is>
      </c>
      <c r="R7" s="7" t="inlineStr">
        <is>
          <t>Threshold</t>
        </is>
      </c>
      <c r="S7" s="7" t="inlineStr">
        <is>
          <t>As at</t>
        </is>
      </c>
    </row>
    <row r="8">
      <c r="B8" s="7" t="inlineStr">
        <is>
          <t>04. Cat Losses</t>
        </is>
      </c>
      <c r="C8" s="7" t="inlineStr">
        <is>
          <t>04 Cat</t>
        </is>
      </c>
      <c r="D8" s="7" t="inlineStr">
        <is>
          <t>Year</t>
        </is>
      </c>
      <c r="E8" s="7" t="inlineStr">
        <is>
          <t>Event Date</t>
        </is>
      </c>
      <c r="F8" s="7" t="inlineStr">
        <is>
          <t>Event Name</t>
        </is>
      </c>
      <c r="G8" s="7" t="inlineStr">
        <is>
          <t>Incurred Losses</t>
        </is>
      </c>
      <c r="N8" s="7" t="inlineStr">
        <is>
          <t>Currency</t>
        </is>
      </c>
      <c r="O8" s="7" t="inlineStr">
        <is>
          <t>Scale</t>
        </is>
      </c>
      <c r="P8" s="7" t="inlineStr">
        <is>
          <t>Year basis</t>
        </is>
      </c>
      <c r="Q8" s="7" t="inlineStr">
        <is>
          <t>Loss basis</t>
        </is>
      </c>
      <c r="R8" s="7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Currency</t>
        </is>
      </c>
      <c r="O9" s="7" t="inlineStr">
        <is>
          <t>Scale</t>
        </is>
      </c>
      <c r="P9" s="7" t="inlineStr">
        <is>
          <t>Exposure basis</t>
        </is>
      </c>
      <c r="Q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Currency</t>
        </is>
      </c>
      <c r="O10" s="6" t="inlineStr">
        <is>
          <t>Scale</t>
        </is>
      </c>
      <c r="P10" s="6" t="inlineStr">
        <is>
          <t>Year basis</t>
        </is>
      </c>
      <c r="Q10" s="6" t="inlineStr">
        <is>
          <t>Premium basis</t>
        </is>
      </c>
      <c r="R10" s="6" t="inlineStr">
        <is>
          <t>Loss basis</t>
        </is>
      </c>
      <c r="S10" s="6" t="inlineStr">
        <is>
          <t>PF transfer</t>
        </is>
      </c>
      <c r="T10" s="6" t="inlineStr">
        <is>
          <t>As at</t>
        </is>
      </c>
    </row>
    <row r="11">
      <c r="B11" s="2" t="inlineStr">
        <is>
          <t>Note: 'Year' is deliberately unqualified — underwriting vs occurrence is an attribute, not part of the field name.</t>
        </is>
      </c>
    </row>
    <row r="13">
      <c r="B13" s="3" t="inlineStr">
        <is>
          <t>⟦VOCABULARY⟧</t>
        </is>
      </c>
    </row>
    <row r="14">
      <c r="B14" s="8" t="inlineStr">
        <is>
          <t>Attribute</t>
        </is>
      </c>
      <c r="C14" s="8" t="inlineStr">
        <is>
          <t>Permitted values</t>
        </is>
      </c>
    </row>
    <row r="15">
      <c r="B15" s="4" t="inlineStr">
        <is>
          <t>Year basis</t>
        </is>
      </c>
      <c r="C15" s="4" t="inlineStr">
        <is>
          <t>UW | Occurrence</t>
        </is>
      </c>
    </row>
    <row r="16">
      <c r="B16" s="4" t="inlineStr">
        <is>
          <t>Premium basis</t>
        </is>
      </c>
      <c r="C16" s="4" t="inlineStr">
        <is>
          <t>GWP | GNPI | Written | Earned | Signed</t>
        </is>
      </c>
    </row>
    <row r="17">
      <c r="B17" s="4" t="inlineStr">
        <is>
          <t>Loss basis</t>
        </is>
      </c>
      <c r="C17" s="4" t="inlineStr">
        <is>
          <t>Paid | Incurred</t>
        </is>
      </c>
    </row>
    <row r="18">
      <c r="B18" s="4" t="inlineStr">
        <is>
          <t>PF transfer</t>
        </is>
      </c>
      <c r="C18" s="4" t="inlineStr">
        <is>
          <t>with clean cut | without clean cut | none</t>
        </is>
      </c>
    </row>
    <row r="19">
      <c r="B19" s="4" t="inlineStr">
        <is>
          <t>Exposure basis</t>
        </is>
      </c>
      <c r="C19" s="4" t="inlineStr">
        <is>
          <t>Sum Insured | EML | PML | MPL</t>
        </is>
      </c>
    </row>
    <row r="20">
      <c r="B20" s="4" t="inlineStr">
        <is>
          <t>Scale</t>
        </is>
      </c>
      <c r="C20" s="4" t="inlineStr">
        <is>
          <t>1 | 1,000 | 1,000,000</t>
        </is>
      </c>
    </row>
    <row r="21">
      <c r="B21" s="4" t="inlineStr">
        <is>
          <t>Currency</t>
        </is>
      </c>
      <c r="C21" s="4" t="inlineStr">
        <is>
          <t>ISO 4217</t>
        </is>
      </c>
    </row>
    <row r="24">
      <c r="B24" s="3" t="inlineStr">
        <is>
          <t>⟦MARKERS⟧  —  written in column A of each data sheet</t>
        </is>
      </c>
    </row>
    <row r="25">
      <c r="B25" s="8" t="inlineStr">
        <is>
          <t>Marker</t>
        </is>
      </c>
      <c r="C25" s="8" t="inlineStr">
        <is>
          <t>Meaning</t>
        </is>
      </c>
    </row>
    <row r="26">
      <c r="B26" s="9" t="inlineStr">
        <is>
          <t>Header_i</t>
        </is>
      </c>
      <c r="C26" s="4" t="inlineStr">
        <is>
          <t>row-wise: this row is block i's extraction row (declared labels only)</t>
        </is>
      </c>
    </row>
    <row r="27">
      <c r="B27" s="9" t="inlineStr">
        <is>
          <t>Header_i = &lt;col&gt;</t>
        </is>
      </c>
      <c r="C27" s="4" t="inlineStr">
        <is>
          <t>transposed: this column is block i's extraction column</t>
        </is>
      </c>
    </row>
    <row r="28">
      <c r="B28" s="9" t="inlineStr">
        <is>
          <t>Info_i = &lt;col&gt;</t>
        </is>
      </c>
      <c r="C28" s="4" t="inlineStr">
        <is>
          <t>row-wise: this column holds the record selectors, =ROW()</t>
        </is>
      </c>
    </row>
    <row r="29">
      <c r="B29" s="9" t="inlineStr">
        <is>
          <t>Info_i = &lt;row&gt;</t>
        </is>
      </c>
      <c r="C29" s="4" t="inlineStr">
        <is>
          <t>transposed: this row holds the record selectors, =COLUMN()</t>
        </is>
      </c>
    </row>
    <row r="30">
      <c r="B30" s="9" t="inlineStr">
        <is>
          <t>Transpose_i</t>
        </is>
      </c>
      <c r="C30" s="4" t="inlineStr">
        <is>
          <t>block i is transposed</t>
        </is>
      </c>
    </row>
    <row r="31">
      <c r="B31" s="9" t="inlineStr">
        <is>
          <t>&lt;Attribute&gt; = &lt;value&gt;</t>
        </is>
      </c>
      <c r="C31" s="4" t="inlineStr">
        <is>
          <t>an attribute of the sheet (unsuffixed) or of block i (suffixed _i)</t>
        </is>
      </c>
    </row>
    <row r="32">
      <c r="B32" s="9" t="inlineStr">
        <is>
          <t>H_&lt;Attribute&gt; = &lt;val&gt;</t>
        </is>
      </c>
      <c r="C32" s="4" t="inlineStr">
        <is>
          <t>the same, declared as a hypothesis — auto-registers a query</t>
        </is>
      </c>
    </row>
    <row r="34">
      <c r="B34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4" customWidth="1" min="9" max="9"/>
    <col width="4" customWidth="1" min="10" max="10"/>
    <col width="4" customWidth="1" min="11" max="11"/>
    <col width="10" customWidth="1" min="12" max="12"/>
  </cols>
  <sheetData>
    <row r="1">
      <c r="B1" s="1" t="inlineStr">
        <is>
          <t>01. History — row-wise reference block</t>
        </is>
      </c>
    </row>
    <row r="2">
      <c r="A2" s="10" t="inlineStr">
        <is>
          <t>Currency = USD</t>
        </is>
      </c>
      <c r="B2" s="8" t="inlineStr">
        <is>
          <t>Treaty XYZ — Property per Risk XL</t>
        </is>
      </c>
    </row>
    <row r="3">
      <c r="A3" s="10" t="inlineStr">
        <is>
          <t>Scale = 1,000</t>
        </is>
      </c>
    </row>
    <row r="4">
      <c r="A4" s="10" t="inlineStr">
        <is>
          <t>H_Year basis = UW</t>
        </is>
      </c>
    </row>
    <row r="5">
      <c r="A5" s="10" t="inlineStr">
        <is>
          <t>Premium basis = GNPI</t>
        </is>
      </c>
    </row>
    <row r="6">
      <c r="A6" s="10" t="inlineStr">
        <is>
          <t>H_Loss basis = Incurred</t>
        </is>
      </c>
    </row>
    <row r="7"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1" t="inlineStr">
        <is>
          <t>Header_1</t>
        </is>
      </c>
      <c r="B8" s="12" t="inlineStr">
        <is>
          <t>Year</t>
        </is>
      </c>
      <c r="D8" s="12" t="inlineStr">
        <is>
          <t>Premium</t>
        </is>
      </c>
      <c r="G8" s="12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3" t="n">
        <v>2021</v>
      </c>
      <c r="C9" s="14" t="n">
        <v>1240</v>
      </c>
      <c r="D9" s="14" t="n">
        <v>15900</v>
      </c>
      <c r="E9" s="15" t="n">
        <v>0.225</v>
      </c>
      <c r="F9" s="16" t="n">
        <v>1.02</v>
      </c>
      <c r="G9" s="14" t="n">
        <v>14930</v>
      </c>
      <c r="L9" s="17">
        <f>ROW()</f>
        <v>9</v>
      </c>
    </row>
    <row r="10">
      <c r="B10" s="13" t="n">
        <v>2022</v>
      </c>
      <c r="C10" s="14" t="n">
        <v>1310</v>
      </c>
      <c r="D10" s="14" t="n">
        <v>16740</v>
      </c>
      <c r="E10" s="15" t="n">
        <v>0.225</v>
      </c>
      <c r="F10" s="16" t="n">
        <v>1.04</v>
      </c>
      <c r="G10" s="14" t="n">
        <v>10030</v>
      </c>
      <c r="L10" s="17">
        <f>ROW()</f>
        <v>10</v>
      </c>
    </row>
    <row r="11">
      <c r="B11" s="13" t="n">
        <v>2023</v>
      </c>
      <c r="C11" s="14" t="n">
        <v>1395</v>
      </c>
      <c r="D11" s="14" t="n">
        <v>17520</v>
      </c>
      <c r="E11" s="15" t="n">
        <v>0.23</v>
      </c>
      <c r="F11" s="16" t="n">
        <v>1.06</v>
      </c>
      <c r="G11" s="14" t="n">
        <v>12660</v>
      </c>
      <c r="L11" s="17">
        <f>ROW()</f>
        <v>11</v>
      </c>
    </row>
    <row r="12">
      <c r="B12" s="13" t="n">
        <v>2024</v>
      </c>
      <c r="C12" s="14" t="n">
        <v>1460</v>
      </c>
      <c r="D12" s="14" t="n">
        <v>18390</v>
      </c>
      <c r="E12" s="15" t="n">
        <v>0.23</v>
      </c>
      <c r="F12" s="16" t="n">
        <v>1.03</v>
      </c>
      <c r="G12" s="14" t="n">
        <v>11700</v>
      </c>
      <c r="L12" s="17">
        <f>ROW()</f>
        <v>12</v>
      </c>
    </row>
    <row r="13">
      <c r="B13" s="13" t="n">
        <v>2025</v>
      </c>
      <c r="C13" s="14" t="n">
        <v>1505</v>
      </c>
      <c r="D13" s="14" t="n">
        <v>19200</v>
      </c>
      <c r="E13" s="15" t="n">
        <v>0.235</v>
      </c>
      <c r="F13" s="16" t="n">
        <v>1.05</v>
      </c>
      <c r="G13" s="14" t="n">
        <v>10250</v>
      </c>
      <c r="L13" s="17">
        <f>ROW()</f>
        <v>13</v>
      </c>
    </row>
    <row r="14">
      <c r="A14" s="10" t="inlineStr">
        <is>
          <t>H_PF transfer = with clean cut</t>
        </is>
      </c>
      <c r="B14" s="8" t="inlineStr">
        <is>
          <t>Total</t>
        </is>
      </c>
      <c r="C14" s="18">
        <f>SUM(C9:C13)</f>
        <v>6910</v>
      </c>
      <c r="D14" s="18">
        <f>SUM(D9:D13)</f>
        <v>87750</v>
      </c>
      <c r="G14" s="18">
        <f>SUM(G9:G13)</f>
        <v>59570</v>
      </c>
      <c r="H14" s="2" t="inlineStr">
        <is>
          <t>← selector empty: excluded from extraction, reused as control</t>
        </is>
      </c>
    </row>
    <row r="16">
      <c r="A16" s="11" t="inlineStr">
        <is>
          <t>Info_1 = L</t>
        </is>
      </c>
    </row>
    <row r="17">
      <c r="A17" s="10" t="inlineStr">
        <is>
          <t>As at = 31.12.2025</t>
        </is>
      </c>
      <c r="B17" s="2" t="inlineStr">
        <is>
          <t>Note: 2025 figures preliminary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B1" s="1" t="inlineStr">
        <is>
          <t>01. History — transposed reference block (same data, same result)</t>
        </is>
      </c>
    </row>
    <row r="2">
      <c r="A2" s="10" t="inlineStr">
        <is>
          <t>Currency = USD</t>
        </is>
      </c>
    </row>
    <row r="3">
      <c r="A3" s="10" t="inlineStr">
        <is>
          <t>Scale = 1,000</t>
        </is>
      </c>
    </row>
    <row r="4">
      <c r="A4" s="10" t="inlineStr">
        <is>
          <t>H_Year basis = UW</t>
        </is>
      </c>
    </row>
    <row r="5">
      <c r="A5" s="11" t="inlineStr">
        <is>
          <t>Transpose_1</t>
        </is>
      </c>
    </row>
    <row r="6">
      <c r="A6" s="11" t="inlineStr">
        <is>
          <t>Header_1 = C</t>
        </is>
      </c>
    </row>
    <row r="7">
      <c r="A7" s="11" t="inlineStr">
        <is>
          <t>Info_1 = 16</t>
        </is>
      </c>
    </row>
    <row r="8">
      <c r="A8" s="10" t="inlineStr">
        <is>
          <t>Premium basis = GNPI</t>
        </is>
      </c>
      <c r="B8" s="7" t="inlineStr">
        <is>
          <t>UW Year</t>
        </is>
      </c>
      <c r="C8" s="12" t="inlineStr">
        <is>
          <t>Year</t>
        </is>
      </c>
      <c r="D8" s="13" t="n">
        <v>2021</v>
      </c>
      <c r="E8" s="13" t="n">
        <v>2022</v>
      </c>
      <c r="F8" s="13" t="n">
        <v>2023</v>
      </c>
      <c r="G8" s="13" t="n">
        <v>2024</v>
      </c>
      <c r="H8" s="13" t="n">
        <v>2025</v>
      </c>
      <c r="I8" s="8" t="inlineStr">
        <is>
          <t>Total</t>
        </is>
      </c>
    </row>
    <row r="9">
      <c r="B9" s="7" t="inlineStr">
        <is>
          <t>Policies</t>
        </is>
      </c>
      <c r="D9" s="14" t="n">
        <v>1240</v>
      </c>
      <c r="E9" s="14" t="n">
        <v>1310</v>
      </c>
      <c r="F9" s="14" t="n">
        <v>1395</v>
      </c>
      <c r="G9" s="14" t="n">
        <v>1460</v>
      </c>
      <c r="H9" s="14" t="n">
        <v>1505</v>
      </c>
      <c r="I9" s="18">
        <f>SUM(D9:H9)</f>
        <v>6910</v>
      </c>
    </row>
    <row r="10">
      <c r="A10" s="10" t="inlineStr">
        <is>
          <t>H_Loss basis = Incurred</t>
        </is>
      </c>
      <c r="B10" s="7" t="inlineStr">
        <is>
          <t>Prem.</t>
        </is>
      </c>
      <c r="C10" s="12" t="inlineStr">
        <is>
          <t>Premium</t>
        </is>
      </c>
      <c r="D10" s="14" t="n">
        <v>15900</v>
      </c>
      <c r="E10" s="14" t="n">
        <v>16740</v>
      </c>
      <c r="F10" s="14" t="n">
        <v>17520</v>
      </c>
      <c r="G10" s="14" t="n">
        <v>18390</v>
      </c>
      <c r="H10" s="14" t="n">
        <v>19200</v>
      </c>
      <c r="I10" s="18">
        <f>SUM(D10:H10)</f>
        <v>87750</v>
      </c>
    </row>
    <row r="11">
      <c r="B11" s="7" t="inlineStr">
        <is>
          <t>Comm. %</t>
        </is>
      </c>
      <c r="D11" s="15" t="n">
        <v>0.225</v>
      </c>
      <c r="E11" s="15" t="n">
        <v>0.225</v>
      </c>
      <c r="F11" s="15" t="n">
        <v>0.23</v>
      </c>
      <c r="G11" s="15" t="n">
        <v>0.23</v>
      </c>
      <c r="H11" s="15" t="n">
        <v>0.235</v>
      </c>
    </row>
    <row r="12">
      <c r="B12" s="7" t="inlineStr">
        <is>
          <t>Rate</t>
        </is>
      </c>
      <c r="D12" s="16" t="n">
        <v>1.02</v>
      </c>
      <c r="E12" s="16" t="n">
        <v>1.04</v>
      </c>
      <c r="F12" s="16" t="n">
        <v>1.06</v>
      </c>
      <c r="G12" s="16" t="n">
        <v>1.03</v>
      </c>
      <c r="H12" s="16" t="n">
        <v>1.05</v>
      </c>
    </row>
    <row r="13">
      <c r="A13" s="10" t="inlineStr">
        <is>
          <t>H_PF transfer = with clean cut</t>
        </is>
      </c>
      <c r="B13" s="7" t="inlineStr">
        <is>
          <t>Incurred</t>
        </is>
      </c>
      <c r="C13" s="12" t="inlineStr">
        <is>
          <t>Incurred Losses</t>
        </is>
      </c>
      <c r="D13" s="14" t="n">
        <v>14930</v>
      </c>
      <c r="E13" s="14" t="n">
        <v>10030</v>
      </c>
      <c r="F13" s="14" t="n">
        <v>12660</v>
      </c>
      <c r="G13" s="14" t="n">
        <v>11700</v>
      </c>
      <c r="H13" s="14" t="n">
        <v>10250</v>
      </c>
      <c r="I13" s="18">
        <f>SUM(D13:H13)</f>
        <v>59570</v>
      </c>
    </row>
    <row r="16">
      <c r="A16" s="10" t="inlineStr">
        <is>
          <t>As at = 31.12.2025</t>
        </is>
      </c>
      <c r="C16" s="2" t="inlineStr">
        <is>
          <t>selector →</t>
        </is>
      </c>
      <c r="D16" s="17">
        <f>COLUMN()</f>
        <v>4</v>
      </c>
      <c r="E16" s="17">
        <f>COLUMN()</f>
        <v>5</v>
      </c>
      <c r="F16" s="17">
        <f>COLUMN()</f>
        <v>6</v>
      </c>
      <c r="G16" s="17">
        <f>COLUMN()</f>
        <v>7</v>
      </c>
      <c r="H16" s="17">
        <f>COLUMN()</f>
        <v>8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Column I (Total) has no selector: excluded from extraction, reused as control.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2026-08-15T12:01:17Z</dcterms:created>
  <dcterms:modified xsi:type="dcterms:W3CDTF">2026-08-15T12:01:17Z</dcterms:modified>
</cp:coreProperties>
</file>