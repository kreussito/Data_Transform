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EQ" sheetId="2" state="visible" r:id="rId2"/>
    <sheet name="01. History Wind" sheetId="3" state="visible" r:id="rId3"/>
    <sheet name="02. EPI EQ" sheetId="4" state="visible" r:id="rId4"/>
    <sheet name="02. EPI Wind" sheetId="5" state="visible" r:id="rId5"/>
    <sheet name="06. EQ Aggs" sheetId="6" state="visible" r:id="rId6"/>
    <sheet name="07. Wind Ag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4" borderId="1" pivotButton="0" quotePrefix="0" xfId="0"/>
    <xf numFmtId="0" fontId="7" fillId="0" borderId="0" pivotButton="0" quotePrefix="0" xfId="0"/>
    <xf numFmtId="0" fontId="6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D86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6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</cols>
  <sheetData>
    <row r="1">
      <c r="B1" s="1" t="inlineStr">
        <is>
          <t>00. Nomenclature &amp; Interdependencies</t>
        </is>
      </c>
    </row>
    <row r="2">
      <c r="B2" s="2" t="inlineStr">
        <is>
          <t>The frame. Column A is intentionally empty — no markers in this sheet.</t>
        </is>
      </c>
    </row>
    <row r="3">
      <c r="B3" s="2" t="inlineStr">
        <is>
          <t>The header register runs D…P here rather than D…M: 06 declares eleven headers, and row 4 is what says where the boundary falls.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Q4" s="3" t="inlineStr">
        <is>
          <t>Attributes  →</t>
        </is>
      </c>
    </row>
    <row r="5">
      <c r="B5" s="4" t="inlineStr">
        <is>
          <t>01. History EQ</t>
        </is>
      </c>
      <c r="C5" s="4" t="inlineStr">
        <is>
          <t>01 History EQ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Q5" s="6" t="inlineStr">
        <is>
          <t>Section</t>
        </is>
      </c>
      <c r="R5" s="6" t="inlineStr">
        <is>
          <t>Currency</t>
        </is>
      </c>
      <c r="S5" s="6" t="inlineStr">
        <is>
          <t>Scale</t>
        </is>
      </c>
      <c r="T5" s="6" t="inlineStr">
        <is>
          <t>Share basis</t>
        </is>
      </c>
      <c r="U5" s="6" t="inlineStr">
        <is>
          <t>Year basis</t>
        </is>
      </c>
      <c r="V5" s="6" t="inlineStr">
        <is>
          <t>Premium basis</t>
        </is>
      </c>
      <c r="W5" s="6" t="inlineStr">
        <is>
          <t>Loss basis</t>
        </is>
      </c>
      <c r="X5" s="6" t="inlineStr">
        <is>
          <t>As at</t>
        </is>
      </c>
    </row>
    <row r="6">
      <c r="B6" s="4" t="inlineStr">
        <is>
          <t>01. History Wind</t>
        </is>
      </c>
      <c r="C6" s="4" t="inlineStr">
        <is>
          <t>01 History Wind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Q6" s="6" t="inlineStr">
        <is>
          <t>Section</t>
        </is>
      </c>
      <c r="R6" s="6" t="inlineStr">
        <is>
          <t>Currency</t>
        </is>
      </c>
      <c r="S6" s="6" t="inlineStr">
        <is>
          <t>Scale</t>
        </is>
      </c>
      <c r="T6" s="6" t="inlineStr">
        <is>
          <t>Share basis</t>
        </is>
      </c>
      <c r="U6" s="6" t="inlineStr">
        <is>
          <t>Year basis</t>
        </is>
      </c>
      <c r="V6" s="6" t="inlineStr">
        <is>
          <t>Premium basis</t>
        </is>
      </c>
      <c r="W6" s="6" t="inlineStr">
        <is>
          <t>Loss basis</t>
        </is>
      </c>
      <c r="X6" s="6" t="inlineStr">
        <is>
          <t>As at</t>
        </is>
      </c>
    </row>
    <row r="7">
      <c r="B7" s="4" t="inlineStr">
        <is>
          <t>02. EPI EQ</t>
        </is>
      </c>
      <c r="C7" s="4" t="inlineStr">
        <is>
          <t>02 EPI EQ</t>
        </is>
      </c>
      <c r="D7" s="5" t="inlineStr">
        <is>
          <t>Year</t>
        </is>
      </c>
      <c r="E7" s="5" t="inlineStr">
        <is>
          <t>EPI</t>
        </is>
      </c>
      <c r="Q7" s="6" t="inlineStr">
        <is>
          <t>Section</t>
        </is>
      </c>
      <c r="R7" s="6" t="inlineStr">
        <is>
          <t>Currency</t>
        </is>
      </c>
      <c r="S7" s="6" t="inlineStr">
        <is>
          <t>Scale</t>
        </is>
      </c>
      <c r="T7" s="6" t="inlineStr">
        <is>
          <t>Share basis</t>
        </is>
      </c>
      <c r="U7" s="6" t="inlineStr">
        <is>
          <t>Year basis</t>
        </is>
      </c>
      <c r="V7" s="6" t="inlineStr">
        <is>
          <t>Premium basis</t>
        </is>
      </c>
      <c r="W7" s="6" t="inlineStr">
        <is>
          <t>As at</t>
        </is>
      </c>
    </row>
    <row r="8">
      <c r="B8" s="4" t="inlineStr">
        <is>
          <t>02. EPI Wind</t>
        </is>
      </c>
      <c r="C8" s="4" t="inlineStr">
        <is>
          <t>02 EPI Wind</t>
        </is>
      </c>
      <c r="D8" s="5" t="inlineStr">
        <is>
          <t>Year</t>
        </is>
      </c>
      <c r="E8" s="5" t="inlineStr">
        <is>
          <t>EPI</t>
        </is>
      </c>
      <c r="Q8" s="6" t="inlineStr">
        <is>
          <t>Section</t>
        </is>
      </c>
      <c r="R8" s="6" t="inlineStr">
        <is>
          <t>Currency</t>
        </is>
      </c>
      <c r="S8" s="6" t="inlineStr">
        <is>
          <t>Scale</t>
        </is>
      </c>
      <c r="T8" s="6" t="inlineStr">
        <is>
          <t>Share basis</t>
        </is>
      </c>
      <c r="U8" s="6" t="inlineStr">
        <is>
          <t>Year basis</t>
        </is>
      </c>
      <c r="V8" s="6" t="inlineStr">
        <is>
          <t>Premium basis</t>
        </is>
      </c>
      <c r="W8" s="6" t="inlineStr">
        <is>
          <t>As at</t>
        </is>
      </c>
    </row>
    <row r="9">
      <c r="B9" s="4" t="inlineStr">
        <is>
          <t>06. EQ Aggs</t>
        </is>
      </c>
      <c r="C9" s="4" t="inlineStr">
        <is>
          <t>06 EQ Aggs</t>
        </is>
      </c>
      <c r="D9" s="5" t="inlineStr">
        <is>
          <t>Zone</t>
        </is>
      </c>
      <c r="E9" s="5" t="inlineStr">
        <is>
          <t>Res Building</t>
        </is>
      </c>
      <c r="F9" s="5" t="inlineStr">
        <is>
          <t>Res Content</t>
        </is>
      </c>
      <c r="G9" s="5" t="inlineStr">
        <is>
          <t>Res BI</t>
        </is>
      </c>
      <c r="H9" s="5" t="inlineStr">
        <is>
          <t>Com Building</t>
        </is>
      </c>
      <c r="I9" s="5" t="inlineStr">
        <is>
          <t>Com Content</t>
        </is>
      </c>
      <c r="J9" s="5" t="inlineStr">
        <is>
          <t>Com BI</t>
        </is>
      </c>
      <c r="K9" s="5" t="inlineStr">
        <is>
          <t>Ind Building</t>
        </is>
      </c>
      <c r="L9" s="5" t="inlineStr">
        <is>
          <t>Ind Content</t>
        </is>
      </c>
      <c r="M9" s="5" t="inlineStr">
        <is>
          <t>Ind BI</t>
        </is>
      </c>
      <c r="N9" s="5" t="inlineStr">
        <is>
          <t>Total (optional)</t>
        </is>
      </c>
      <c r="Q9" s="6" t="inlineStr">
        <is>
          <t>Section</t>
        </is>
      </c>
      <c r="R9" s="6" t="inlineStr">
        <is>
          <t>Currency</t>
        </is>
      </c>
      <c r="S9" s="6" t="inlineStr">
        <is>
          <t>Scale</t>
        </is>
      </c>
      <c r="T9" s="6" t="inlineStr">
        <is>
          <t>Share basis</t>
        </is>
      </c>
      <c r="U9" s="6" t="inlineStr">
        <is>
          <t>Exposure basis</t>
        </is>
      </c>
      <c r="V9" s="6" t="inlineStr">
        <is>
          <t>Zone scheme</t>
        </is>
      </c>
      <c r="W9" s="6" t="inlineStr">
        <is>
          <t>Coinsurance</t>
        </is>
      </c>
      <c r="X9" s="6" t="inlineStr">
        <is>
          <t>Deductible</t>
        </is>
      </c>
      <c r="Y9" s="6" t="inlineStr">
        <is>
          <t>Standard deductible</t>
        </is>
      </c>
      <c r="Z9" s="6" t="inlineStr">
        <is>
          <t>Limit basis</t>
        </is>
      </c>
      <c r="AA9" s="6" t="inlineStr">
        <is>
          <t>Multi-location</t>
        </is>
      </c>
      <c r="AB9" s="6" t="inlineStr">
        <is>
          <t>Includes fac</t>
        </is>
      </c>
      <c r="AC9" s="6" t="inlineStr">
        <is>
          <t>Period</t>
        </is>
      </c>
      <c r="AD9" s="6" t="inlineStr">
        <is>
          <t>As at</t>
        </is>
      </c>
    </row>
    <row r="10">
      <c r="B10" s="4" t="inlineStr">
        <is>
          <t>07. Wind Aggs</t>
        </is>
      </c>
      <c r="C10" s="4" t="inlineStr">
        <is>
          <t>07 Wind Aggs</t>
        </is>
      </c>
      <c r="D10" s="5" t="inlineStr">
        <is>
          <t>Zone</t>
        </is>
      </c>
      <c r="E10" s="5" t="inlineStr">
        <is>
          <t>Res Building</t>
        </is>
      </c>
      <c r="F10" s="5" t="inlineStr">
        <is>
          <t>Res Content</t>
        </is>
      </c>
      <c r="G10" s="5" t="inlineStr">
        <is>
          <t>Res BI</t>
        </is>
      </c>
      <c r="H10" s="5" t="inlineStr">
        <is>
          <t>Com Building</t>
        </is>
      </c>
      <c r="I10" s="5" t="inlineStr">
        <is>
          <t>Com Content</t>
        </is>
      </c>
      <c r="J10" s="5" t="inlineStr">
        <is>
          <t>Com BI</t>
        </is>
      </c>
      <c r="K10" s="5" t="inlineStr">
        <is>
          <t>Ind Building</t>
        </is>
      </c>
      <c r="L10" s="5" t="inlineStr">
        <is>
          <t>Ind Content</t>
        </is>
      </c>
      <c r="M10" s="5" t="inlineStr">
        <is>
          <t>Ind BI</t>
        </is>
      </c>
      <c r="N10" s="5" t="inlineStr">
        <is>
          <t>Total (optional)</t>
        </is>
      </c>
      <c r="Q10" s="6" t="inlineStr">
        <is>
          <t>Section</t>
        </is>
      </c>
      <c r="R10" s="6" t="inlineStr">
        <is>
          <t>Currency</t>
        </is>
      </c>
      <c r="S10" s="6" t="inlineStr">
        <is>
          <t>Scale</t>
        </is>
      </c>
      <c r="T10" s="6" t="inlineStr">
        <is>
          <t>Share basis</t>
        </is>
      </c>
      <c r="U10" s="6" t="inlineStr">
        <is>
          <t>Exposure basis</t>
        </is>
      </c>
      <c r="V10" s="6" t="inlineStr">
        <is>
          <t>Zone scheme</t>
        </is>
      </c>
      <c r="W10" s="6" t="inlineStr">
        <is>
          <t>Coinsurance</t>
        </is>
      </c>
      <c r="X10" s="6" t="inlineStr">
        <is>
          <t>Deductible</t>
        </is>
      </c>
      <c r="Y10" s="6" t="inlineStr">
        <is>
          <t>Standard deductible</t>
        </is>
      </c>
      <c r="Z10" s="6" t="inlineStr">
        <is>
          <t>Limit basis</t>
        </is>
      </c>
      <c r="AA10" s="6" t="inlineStr">
        <is>
          <t>Multi-location</t>
        </is>
      </c>
      <c r="AB10" s="6" t="inlineStr">
        <is>
          <t>Includes fac</t>
        </is>
      </c>
      <c r="AC10" s="6" t="inlineStr">
        <is>
          <t>Period</t>
        </is>
      </c>
      <c r="AD10" s="6" t="inlineStr">
        <is>
          <t>As at</t>
        </is>
      </c>
    </row>
    <row r="13">
      <c r="B13" s="3" t="inlineStr">
        <is>
          <t>⟦SECTIONS⟧</t>
        </is>
      </c>
    </row>
    <row r="14">
      <c r="B14" s="7" t="inlineStr">
        <is>
          <t>Section</t>
        </is>
      </c>
      <c r="C14" s="7" t="inlineStr">
        <is>
          <t>Kind</t>
        </is>
      </c>
      <c r="D14" s="7" t="inlineStr">
        <is>
          <t>Datasets</t>
        </is>
      </c>
    </row>
    <row r="15">
      <c r="B15" s="6" t="inlineStr">
        <is>
          <t>Earthquake</t>
        </is>
      </c>
      <c r="C15" s="5" t="inlineStr">
        <is>
          <t>cat</t>
        </is>
      </c>
      <c r="D15" s="4" t="inlineStr">
        <is>
          <t>01, 02, 06</t>
        </is>
      </c>
    </row>
    <row r="16">
      <c r="B16" s="6" t="inlineStr">
        <is>
          <t>Hurricane</t>
        </is>
      </c>
      <c r="C16" s="5" t="inlineStr">
        <is>
          <t>cat</t>
        </is>
      </c>
      <c r="D16" s="4" t="inlineStr">
        <is>
          <t>01, 02, 07</t>
        </is>
      </c>
    </row>
    <row r="18">
      <c r="B18" s="2" t="inlineStr">
        <is>
          <t>Either peril can be bought alone or both together, and the covered books need not be the same — so no rule compares 06 with 07.</t>
        </is>
      </c>
    </row>
    <row r="20">
      <c r="B20" s="3" t="inlineStr">
        <is>
          <t>⟦ZONES⟧</t>
        </is>
      </c>
    </row>
    <row r="21">
      <c r="B21" s="7" t="inlineStr">
        <is>
          <t>Scheme</t>
        </is>
      </c>
      <c r="C21" s="7" t="inlineStr">
        <is>
          <t>Zones</t>
        </is>
      </c>
    </row>
    <row r="22">
      <c r="B22" s="6" t="inlineStr">
        <is>
          <t>Mexico EQ</t>
        </is>
      </c>
      <c r="C22" s="4" t="inlineStr">
        <is>
          <t>1, 2, 3, 4, 5, 6, 7, 8, 9, 10, 11, 12, 13a, 13b, 14a, 14b, 14c, 14d, 15, 16, 17, 18, 19, 20, 21, 22, 23, 24, 25, 26, 27, 28, 29, 30, 31, 32, 33, 34, 35, 36, 37, 38, 39, 40, 41, 42, 43, 44, 45, 46, 47, 48</t>
        </is>
      </c>
    </row>
    <row r="23">
      <c r="B23" s="6" t="inlineStr">
        <is>
          <t>Mexico Wind</t>
        </is>
      </c>
      <c r="C23" s="4" t="inlineStr">
        <is>
          <t>1, 2, 3, 4, 5, 6, 7, 8, 9, 10, 11, 12, 13, 14, 15, 16, 17, 18, 19, 20, 21, 22, 23, 24, 25, 26, 27, 28, 29, 30, 31, 32, 33, 34, 35, 36, 37, 38, 39, 40, 41, 42</t>
        </is>
      </c>
    </row>
    <row r="25">
      <c r="B25" s="2" t="inlineStr">
        <is>
          <t>The complete zoning. A cedent lists only the zones it has exposure in; the rest are shown as 0, because an absent zone reads as 'no data' and a zero reads as 'nothing there'.</t>
        </is>
      </c>
    </row>
    <row r="27">
      <c r="B27" s="3" t="inlineStr">
        <is>
          <t>⟦GLOBAL⟧</t>
        </is>
      </c>
    </row>
    <row r="28">
      <c r="B28" s="7" t="inlineStr">
        <is>
          <t>Attribute</t>
        </is>
      </c>
      <c r="C28" s="7" t="inlineStr">
        <is>
          <t>Value</t>
        </is>
      </c>
    </row>
    <row r="29">
      <c r="B29" s="4" t="inlineStr">
        <is>
          <t>Actual year</t>
        </is>
      </c>
      <c r="C29" s="8" t="n">
        <v>2025</v>
      </c>
    </row>
    <row r="30">
      <c r="B30" s="4" t="inlineStr">
        <is>
          <t>Treaty type</t>
        </is>
      </c>
      <c r="C30" s="6" t="inlineStr">
        <is>
          <t>Mexico property cat</t>
        </is>
      </c>
    </row>
    <row r="31">
      <c r="B31" s="4" t="inlineStr">
        <is>
          <t>Cedent</t>
        </is>
      </c>
      <c r="C31" s="6" t="inlineStr">
        <is>
          <t>Aseguradora Ejemplo SA</t>
        </is>
      </c>
    </row>
    <row r="32">
      <c r="B32" s="4" t="inlineStr">
        <is>
          <t>Loss share warning</t>
        </is>
      </c>
      <c r="C32" s="9" t="n">
        <v>0.2</v>
      </c>
    </row>
    <row r="33">
      <c r="B33" s="4" t="inlineStr">
        <is>
          <t>Rate change warning</t>
        </is>
      </c>
      <c r="C33" s="9" t="n">
        <v>0.2</v>
      </c>
    </row>
    <row r="35">
      <c r="B35" s="2" t="inlineStr">
        <is>
          <t>Rate change warning is the movement in premium per unit of exposure beyond which the growth block raises a warning (§10.4).</t>
        </is>
      </c>
    </row>
    <row r="37">
      <c r="B37" s="3" t="inlineStr">
        <is>
          <t>⟦TYPES⟧</t>
        </is>
      </c>
    </row>
    <row r="38">
      <c r="B38" s="7" t="inlineStr">
        <is>
          <t>Field</t>
        </is>
      </c>
      <c r="C38" s="7" t="inlineStr">
        <is>
          <t>Type</t>
        </is>
      </c>
    </row>
    <row r="39">
      <c r="B39" s="4" t="inlineStr">
        <is>
          <t>Year</t>
        </is>
      </c>
      <c r="C39" s="5" t="inlineStr">
        <is>
          <t>text</t>
        </is>
      </c>
    </row>
    <row r="40">
      <c r="B40" s="4" t="inlineStr">
        <is>
          <t>Premium</t>
        </is>
      </c>
      <c r="C40" s="5" t="inlineStr">
        <is>
          <t>number</t>
        </is>
      </c>
    </row>
    <row r="41">
      <c r="B41" s="4" t="inlineStr">
        <is>
          <t>Incurred Losses</t>
        </is>
      </c>
      <c r="C41" s="5" t="inlineStr">
        <is>
          <t>number</t>
        </is>
      </c>
    </row>
    <row r="42">
      <c r="B42" s="4" t="inlineStr">
        <is>
          <t>EPI</t>
        </is>
      </c>
      <c r="C42" s="5" t="inlineStr">
        <is>
          <t>number</t>
        </is>
      </c>
    </row>
    <row r="43">
      <c r="B43" s="4" t="inlineStr">
        <is>
          <t>Zone</t>
        </is>
      </c>
      <c r="C43" s="5" t="inlineStr">
        <is>
          <t>text</t>
        </is>
      </c>
    </row>
    <row r="44">
      <c r="B44" s="4" t="inlineStr">
        <is>
          <t>Total</t>
        </is>
      </c>
      <c r="C44" s="5" t="inlineStr">
        <is>
          <t>number</t>
        </is>
      </c>
    </row>
    <row r="45">
      <c r="B45" s="4" t="inlineStr">
        <is>
          <t>Res Building</t>
        </is>
      </c>
      <c r="C45" s="5" t="inlineStr">
        <is>
          <t>number</t>
        </is>
      </c>
    </row>
    <row r="46">
      <c r="B46" s="4" t="inlineStr">
        <is>
          <t>Res Content</t>
        </is>
      </c>
      <c r="C46" s="5" t="inlineStr">
        <is>
          <t>number</t>
        </is>
      </c>
    </row>
    <row r="47">
      <c r="B47" s="4" t="inlineStr">
        <is>
          <t>Res BI</t>
        </is>
      </c>
      <c r="C47" s="5" t="inlineStr">
        <is>
          <t>number</t>
        </is>
      </c>
    </row>
    <row r="48">
      <c r="B48" s="4" t="inlineStr">
        <is>
          <t>Com Building</t>
        </is>
      </c>
      <c r="C48" s="5" t="inlineStr">
        <is>
          <t>number</t>
        </is>
      </c>
    </row>
    <row r="49">
      <c r="B49" s="4" t="inlineStr">
        <is>
          <t>Com Content</t>
        </is>
      </c>
      <c r="C49" s="5" t="inlineStr">
        <is>
          <t>number</t>
        </is>
      </c>
    </row>
    <row r="50">
      <c r="B50" s="4" t="inlineStr">
        <is>
          <t>Com BI</t>
        </is>
      </c>
      <c r="C50" s="5" t="inlineStr">
        <is>
          <t>number</t>
        </is>
      </c>
    </row>
    <row r="51">
      <c r="B51" s="4" t="inlineStr">
        <is>
          <t>Ind Building</t>
        </is>
      </c>
      <c r="C51" s="5" t="inlineStr">
        <is>
          <t>number</t>
        </is>
      </c>
    </row>
    <row r="52">
      <c r="B52" s="4" t="inlineStr">
        <is>
          <t>Ind Content</t>
        </is>
      </c>
      <c r="C52" s="5" t="inlineStr">
        <is>
          <t>number</t>
        </is>
      </c>
    </row>
    <row r="53">
      <c r="B53" s="4" t="inlineStr">
        <is>
          <t>Ind BI</t>
        </is>
      </c>
      <c r="C53" s="5" t="inlineStr">
        <is>
          <t>number</t>
        </is>
      </c>
    </row>
    <row r="56">
      <c r="B56" s="3" t="inlineStr">
        <is>
          <t>⟦VOCABULARY⟧</t>
        </is>
      </c>
    </row>
    <row r="57">
      <c r="B57" s="7" t="inlineStr">
        <is>
          <t>Attribute</t>
        </is>
      </c>
      <c r="C57" s="7" t="inlineStr">
        <is>
          <t>Permitted values</t>
        </is>
      </c>
    </row>
    <row r="58">
      <c r="B58" s="4" t="inlineStr">
        <is>
          <t>Year basis</t>
        </is>
      </c>
      <c r="C58" s="4" t="inlineStr">
        <is>
          <t>UW | Occurrence</t>
        </is>
      </c>
    </row>
    <row r="59">
      <c r="B59" s="4" t="inlineStr">
        <is>
          <t>Premium basis</t>
        </is>
      </c>
      <c r="C59" s="4" t="inlineStr">
        <is>
          <t>GWP | GNPI | Written | Earned | Signed</t>
        </is>
      </c>
    </row>
    <row r="60">
      <c r="B60" s="4" t="inlineStr">
        <is>
          <t>Loss basis</t>
        </is>
      </c>
      <c r="C60" s="4" t="inlineStr">
        <is>
          <t>Paid | Incurred</t>
        </is>
      </c>
    </row>
    <row r="61">
      <c r="B61" s="4" t="inlineStr">
        <is>
          <t>Share basis</t>
        </is>
      </c>
      <c r="C61" s="4" t="inlineStr">
        <is>
          <t>100% | ceded only</t>
        </is>
      </c>
    </row>
    <row r="62">
      <c r="B62" s="4" t="inlineStr">
        <is>
          <t>Scale</t>
        </is>
      </c>
      <c r="C62" s="4" t="inlineStr">
        <is>
          <t>1 | 1,000 | 1,000,000</t>
        </is>
      </c>
    </row>
    <row r="63">
      <c r="B63" s="4" t="inlineStr">
        <is>
          <t>Exposure basis</t>
        </is>
      </c>
      <c r="C63" s="4" t="inlineStr">
        <is>
          <t>Sum Insured | EML | PML | MPL</t>
        </is>
      </c>
    </row>
    <row r="64">
      <c r="B64" s="4" t="inlineStr">
        <is>
          <t>Zone scheme</t>
        </is>
      </c>
      <c r="C64" s="4" t="inlineStr">
        <is>
          <t>Mexico EQ | Mexico Wind</t>
        </is>
      </c>
    </row>
    <row r="65">
      <c r="B65" s="4" t="inlineStr">
        <is>
          <t>Coinsurance</t>
        </is>
      </c>
      <c r="C65" s="4" t="inlineStr">
        <is>
          <t>deducted | not deducted</t>
        </is>
      </c>
    </row>
    <row r="66">
      <c r="B66" s="4" t="inlineStr">
        <is>
          <t>Deductible</t>
        </is>
      </c>
      <c r="C66" s="4" t="inlineStr">
        <is>
          <t>deducted | not deducted</t>
        </is>
      </c>
    </row>
    <row r="67">
      <c r="B67" s="4" t="inlineStr">
        <is>
          <t>Limit basis</t>
        </is>
      </c>
      <c r="C67" s="4" t="inlineStr">
        <is>
          <t>full sum insured | per risk limit | per location limit</t>
        </is>
      </c>
    </row>
    <row r="68">
      <c r="B68" s="4" t="inlineStr">
        <is>
          <t>Multi-location</t>
        </is>
      </c>
      <c r="C68" s="4" t="inlineStr">
        <is>
          <t>split by location | allocated to main zone | duplicated in each zone</t>
        </is>
      </c>
    </row>
    <row r="69">
      <c r="B69" s="4" t="inlineStr">
        <is>
          <t>Includes fac</t>
        </is>
      </c>
      <c r="C69" s="4" t="inlineStr">
        <is>
          <t>yes | no</t>
        </is>
      </c>
    </row>
    <row r="70">
      <c r="B70" s="4" t="inlineStr">
        <is>
          <t>Currency</t>
        </is>
      </c>
      <c r="C70" s="4" t="inlineStr">
        <is>
          <t>ISO 4217</t>
        </is>
      </c>
    </row>
    <row r="73">
      <c r="B73" s="3" t="inlineStr">
        <is>
          <t>⟦PERIOD ORDER⟧</t>
        </is>
      </c>
    </row>
    <row r="74">
      <c r="B74" s="7" t="inlineStr">
        <is>
          <t>Rank</t>
        </is>
      </c>
      <c r="C74" s="7" t="inlineStr">
        <is>
          <t>Suffix</t>
        </is>
      </c>
    </row>
    <row r="75">
      <c r="B75" s="10" t="n">
        <v>1</v>
      </c>
      <c r="C75" s="5" t="inlineStr">
        <is>
          <t>est</t>
        </is>
      </c>
    </row>
    <row r="76">
      <c r="B76" s="10" t="n">
        <v>2</v>
      </c>
      <c r="C76" s="5" t="inlineStr">
        <is>
          <t>9 months</t>
        </is>
      </c>
    </row>
    <row r="77">
      <c r="B77" s="10" t="n">
        <v>3</v>
      </c>
      <c r="C77" s="5" t="inlineStr">
        <is>
          <t>re-est</t>
        </is>
      </c>
    </row>
    <row r="78">
      <c r="B78" s="10" t="n">
        <v>4</v>
      </c>
      <c r="C78" s="5" t="inlineStr">
        <is>
          <t>at inception</t>
        </is>
      </c>
    </row>
    <row r="79">
      <c r="B79" s="10" t="n">
        <v>5</v>
      </c>
      <c r="C79" s="5" t="inlineStr">
        <is>
          <t>at expiry</t>
        </is>
      </c>
    </row>
    <row r="81">
      <c r="B81" s="2" t="inlineStr">
        <is>
          <t>'at inception' and 'at expiry' order the three versions of an aggregate: the nine-month estimate of N, then the first and the last day of N+1.</t>
        </is>
      </c>
    </row>
    <row r="83">
      <c r="B83" s="3" t="inlineStr">
        <is>
          <t>⟦SPLITS⟧</t>
        </is>
      </c>
    </row>
    <row r="84">
      <c r="B84" s="7" t="inlineStr">
        <is>
          <t>Scheme</t>
        </is>
      </c>
      <c r="C84" s="7" t="inlineStr">
        <is>
          <t>Occupancy</t>
        </is>
      </c>
      <c r="D84" s="7" t="inlineStr">
        <is>
          <t>Building</t>
        </is>
      </c>
      <c r="E84" s="7" t="inlineStr">
        <is>
          <t>Content</t>
        </is>
      </c>
      <c r="F84" s="7" t="inlineStr">
        <is>
          <t>BI</t>
        </is>
      </c>
    </row>
    <row r="86">
      <c r="B86" s="2" t="inlineStr">
        <is>
          <t>Empty by design. Where a cedent sends fewer buckets than the nine, the ratios that fill the rest go here — declared, visible and versioned with the pack, because a split is an assumption and not a reading.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44" customWidth="1" min="6" max="6"/>
    <col width="10" customWidth="1" min="8" max="8"/>
  </cols>
  <sheetData>
    <row r="1">
      <c r="B1" s="1" t="inlineStr">
        <is>
          <t>01. History — Earthquake</t>
        </is>
      </c>
    </row>
    <row r="2">
      <c r="A2" s="11" t="inlineStr">
        <is>
          <t>Section = Earthquake</t>
        </is>
      </c>
    </row>
    <row r="3">
      <c r="A3" s="11" t="inlineStr">
        <is>
          <t>Currency = MXN</t>
        </is>
      </c>
    </row>
    <row r="4">
      <c r="A4" s="11" t="inlineStr">
        <is>
          <t>Scale = 1,000,000</t>
        </is>
      </c>
    </row>
    <row r="5">
      <c r="A5" s="11" t="inlineStr">
        <is>
          <t>Share basis = 100%</t>
        </is>
      </c>
    </row>
    <row r="6">
      <c r="A6" s="11" t="inlineStr">
        <is>
          <t>Year basis = UW</t>
        </is>
      </c>
    </row>
    <row r="7">
      <c r="A7" s="11" t="inlineStr">
        <is>
          <t>Premium basis = GNPI</t>
        </is>
      </c>
    </row>
    <row r="8">
      <c r="A8" s="11" t="inlineStr">
        <is>
          <t>Loss basis = Incurred</t>
        </is>
      </c>
    </row>
    <row r="9">
      <c r="B9" s="12" t="inlineStr">
        <is>
          <t>Año</t>
        </is>
      </c>
      <c r="C9" s="12" t="inlineStr">
        <is>
          <t>Prima</t>
        </is>
      </c>
      <c r="D9" s="12" t="inlineStr">
        <is>
          <t>Siniestros</t>
        </is>
      </c>
      <c r="F9" s="2" t="inlineStr">
        <is>
          <t>← source header, never read</t>
        </is>
      </c>
    </row>
    <row r="10">
      <c r="A10" s="13" t="inlineStr">
        <is>
          <t>Header_1</t>
        </is>
      </c>
      <c r="B10" s="14" t="inlineStr">
        <is>
          <t>Year</t>
        </is>
      </c>
      <c r="C10" s="14" t="inlineStr">
        <is>
          <t>Premium</t>
        </is>
      </c>
      <c r="D10" s="14" t="inlineStr">
        <is>
          <t>Incurred Losses</t>
        </is>
      </c>
      <c r="F10" s="2" t="inlineStr">
        <is>
          <t>← extraction row: blanks mean 'not extracted'</t>
        </is>
      </c>
    </row>
    <row r="11">
      <c r="B11" s="15" t="inlineStr">
        <is>
          <t>2021</t>
        </is>
      </c>
      <c r="C11" s="16" t="n">
        <v>1180</v>
      </c>
      <c r="D11" s="16" t="n">
        <v>210</v>
      </c>
      <c r="H11" s="17">
        <f>ROW()</f>
        <v>11</v>
      </c>
    </row>
    <row r="12">
      <c r="B12" s="15" t="inlineStr">
        <is>
          <t>2022</t>
        </is>
      </c>
      <c r="C12" s="16" t="n">
        <v>1265</v>
      </c>
      <c r="D12" s="16" t="n">
        <v>185</v>
      </c>
      <c r="H12" s="17">
        <f>ROW()</f>
        <v>12</v>
      </c>
    </row>
    <row r="13">
      <c r="B13" s="15" t="inlineStr">
        <is>
          <t>2023</t>
        </is>
      </c>
      <c r="C13" s="16" t="n">
        <v>1340</v>
      </c>
      <c r="D13" s="16" t="n">
        <v>940</v>
      </c>
      <c r="H13" s="17">
        <f>ROW()</f>
        <v>13</v>
      </c>
    </row>
    <row r="14">
      <c r="B14" s="15" t="inlineStr">
        <is>
          <t>2024</t>
        </is>
      </c>
      <c r="C14" s="16" t="n">
        <v>1428</v>
      </c>
      <c r="D14" s="16" t="n">
        <v>240</v>
      </c>
      <c r="H14" s="17">
        <f>ROW()</f>
        <v>14</v>
      </c>
    </row>
    <row r="15">
      <c r="B15" s="15" t="inlineStr">
        <is>
          <t>2025</t>
        </is>
      </c>
      <c r="C15" s="16" t="n">
        <v>1512</v>
      </c>
      <c r="D15" s="16" t="n">
        <v>265</v>
      </c>
      <c r="H15" s="17">
        <f>ROW()</f>
        <v>15</v>
      </c>
    </row>
    <row r="16">
      <c r="B16" s="15" t="inlineStr">
        <is>
          <t>2025 9 months</t>
        </is>
      </c>
      <c r="C16" s="16" t="n">
        <v>1134</v>
      </c>
      <c r="D16" s="16" t="n">
        <v>198</v>
      </c>
      <c r="H16" s="17">
        <f>ROW()</f>
        <v>16</v>
      </c>
    </row>
    <row r="17">
      <c r="B17" s="7" t="inlineStr">
        <is>
          <t>Total</t>
        </is>
      </c>
      <c r="C17" s="18">
        <f>SUM(C11:C16)</f>
        <v>7859</v>
      </c>
      <c r="D17" s="18">
        <f>SUM(D11:D16)</f>
        <v>2038</v>
      </c>
      <c r="F17" s="2" t="inlineStr">
        <is>
          <t>← selector empty: excluded from extraction, reused as control</t>
        </is>
      </c>
    </row>
    <row r="19">
      <c r="A19" s="13" t="inlineStr">
        <is>
          <t>Info_1 = H</t>
        </is>
      </c>
    </row>
    <row r="20">
      <c r="A20" s="11" t="inlineStr">
        <is>
          <t>As at = 30.09.2025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44" customWidth="1" min="6" max="6"/>
    <col width="10" customWidth="1" min="8" max="8"/>
  </cols>
  <sheetData>
    <row r="1">
      <c r="B1" s="1" t="inlineStr">
        <is>
          <t>01. History — Hurricane</t>
        </is>
      </c>
    </row>
    <row r="2">
      <c r="A2" s="11" t="inlineStr">
        <is>
          <t>Section = Hurricane</t>
        </is>
      </c>
    </row>
    <row r="3">
      <c r="A3" s="11" t="inlineStr">
        <is>
          <t>Currency = MXN</t>
        </is>
      </c>
    </row>
    <row r="4">
      <c r="A4" s="11" t="inlineStr">
        <is>
          <t>Scale = 1,000,000</t>
        </is>
      </c>
    </row>
    <row r="5">
      <c r="A5" s="11" t="inlineStr">
        <is>
          <t>Share basis = 100%</t>
        </is>
      </c>
    </row>
    <row r="6">
      <c r="A6" s="11" t="inlineStr">
        <is>
          <t>Year basis = UW</t>
        </is>
      </c>
    </row>
    <row r="7">
      <c r="A7" s="11" t="inlineStr">
        <is>
          <t>Premium basis = GNPI</t>
        </is>
      </c>
    </row>
    <row r="8">
      <c r="A8" s="11" t="inlineStr">
        <is>
          <t>Loss basis = Incurred</t>
        </is>
      </c>
    </row>
    <row r="9">
      <c r="B9" s="12" t="inlineStr">
        <is>
          <t>Año</t>
        </is>
      </c>
      <c r="C9" s="12" t="inlineStr">
        <is>
          <t>Prima</t>
        </is>
      </c>
      <c r="D9" s="12" t="inlineStr">
        <is>
          <t>Siniestros</t>
        </is>
      </c>
      <c r="F9" s="2" t="inlineStr">
        <is>
          <t>← source header, never read</t>
        </is>
      </c>
    </row>
    <row r="10">
      <c r="A10" s="13" t="inlineStr">
        <is>
          <t>Header_1</t>
        </is>
      </c>
      <c r="B10" s="14" t="inlineStr">
        <is>
          <t>Year</t>
        </is>
      </c>
      <c r="C10" s="14" t="inlineStr">
        <is>
          <t>Premium</t>
        </is>
      </c>
      <c r="D10" s="14" t="inlineStr">
        <is>
          <t>Incurred Losses</t>
        </is>
      </c>
      <c r="F10" s="2" t="inlineStr">
        <is>
          <t>← extraction row: blanks mean 'not extracted'</t>
        </is>
      </c>
    </row>
    <row r="11">
      <c r="B11" s="15" t="inlineStr">
        <is>
          <t>2021</t>
        </is>
      </c>
      <c r="C11" s="16" t="n">
        <v>860</v>
      </c>
      <c r="D11" s="16" t="n">
        <v>340</v>
      </c>
      <c r="H11" s="17">
        <f>ROW()</f>
        <v>11</v>
      </c>
    </row>
    <row r="12">
      <c r="B12" s="15" t="inlineStr">
        <is>
          <t>2022</t>
        </is>
      </c>
      <c r="C12" s="16" t="n">
        <v>918</v>
      </c>
      <c r="D12" s="16" t="n">
        <v>1620</v>
      </c>
      <c r="H12" s="17">
        <f>ROW()</f>
        <v>12</v>
      </c>
    </row>
    <row r="13">
      <c r="B13" s="15" t="inlineStr">
        <is>
          <t>2023</t>
        </is>
      </c>
      <c r="C13" s="16" t="n">
        <v>972</v>
      </c>
      <c r="D13" s="16" t="n">
        <v>295</v>
      </c>
      <c r="H13" s="17">
        <f>ROW()</f>
        <v>13</v>
      </c>
    </row>
    <row r="14">
      <c r="B14" s="15" t="inlineStr">
        <is>
          <t>2024</t>
        </is>
      </c>
      <c r="C14" s="16" t="n">
        <v>1035</v>
      </c>
      <c r="D14" s="16" t="n">
        <v>410</v>
      </c>
      <c r="H14" s="17">
        <f>ROW()</f>
        <v>14</v>
      </c>
    </row>
    <row r="15">
      <c r="B15" s="15" t="inlineStr">
        <is>
          <t>2025</t>
        </is>
      </c>
      <c r="C15" s="16" t="n">
        <v>1098</v>
      </c>
      <c r="D15" s="16" t="n">
        <v>380</v>
      </c>
      <c r="H15" s="17">
        <f>ROW()</f>
        <v>15</v>
      </c>
    </row>
    <row r="16">
      <c r="B16" s="15" t="inlineStr">
        <is>
          <t>2025 9 months</t>
        </is>
      </c>
      <c r="C16" s="16" t="n">
        <v>823</v>
      </c>
      <c r="D16" s="16" t="n">
        <v>285</v>
      </c>
      <c r="H16" s="17">
        <f>ROW()</f>
        <v>16</v>
      </c>
    </row>
    <row r="17">
      <c r="B17" s="7" t="inlineStr">
        <is>
          <t>Total</t>
        </is>
      </c>
      <c r="C17" s="18">
        <f>SUM(C11:C16)</f>
        <v>5706</v>
      </c>
      <c r="D17" s="18">
        <f>SUM(D11:D16)</f>
        <v>3330</v>
      </c>
      <c r="F17" s="2" t="inlineStr">
        <is>
          <t>← selector empty: excluded from extraction, reused as control</t>
        </is>
      </c>
    </row>
    <row r="19">
      <c r="A19" s="13" t="inlineStr">
        <is>
          <t>Info_1 = H</t>
        </is>
      </c>
    </row>
    <row r="20">
      <c r="A20" s="11" t="inlineStr">
        <is>
          <t>As at = 30.09.2025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44" customWidth="1" min="5" max="5"/>
    <col width="10" customWidth="1" min="7" max="7"/>
  </cols>
  <sheetData>
    <row r="1">
      <c r="B1" s="1" t="inlineStr">
        <is>
          <t>02. EPI Projections — Earthquake</t>
        </is>
      </c>
    </row>
    <row r="2">
      <c r="A2" s="11" t="inlineStr">
        <is>
          <t>Section = Earthquake</t>
        </is>
      </c>
    </row>
    <row r="3">
      <c r="A3" s="11" t="inlineStr">
        <is>
          <t>Currency = MXN</t>
        </is>
      </c>
    </row>
    <row r="4">
      <c r="A4" s="11" t="inlineStr">
        <is>
          <t>Scale = 1,000,000</t>
        </is>
      </c>
    </row>
    <row r="5">
      <c r="A5" s="11" t="inlineStr">
        <is>
          <t>Share basis = 100%</t>
        </is>
      </c>
    </row>
    <row r="6">
      <c r="A6" s="11" t="inlineStr">
        <is>
          <t>Year basis = UW</t>
        </is>
      </c>
    </row>
    <row r="7">
      <c r="A7" s="11" t="inlineStr">
        <is>
          <t>Premium basis = GNPI</t>
        </is>
      </c>
    </row>
    <row r="8">
      <c r="B8" s="12" t="inlineStr">
        <is>
          <t>Periodo</t>
        </is>
      </c>
      <c r="C8" s="12" t="inlineStr">
        <is>
          <t>PPI</t>
        </is>
      </c>
      <c r="E8" s="2" t="inlineStr">
        <is>
          <t>← source header, never read</t>
        </is>
      </c>
    </row>
    <row r="9">
      <c r="A9" s="13" t="inlineStr">
        <is>
          <t>Header_1</t>
        </is>
      </c>
      <c r="B9" s="14" t="inlineStr">
        <is>
          <t>Year</t>
        </is>
      </c>
      <c r="C9" s="14" t="inlineStr">
        <is>
          <t>EPI</t>
        </is>
      </c>
      <c r="E9" s="2" t="inlineStr">
        <is>
          <t>← extraction row: blanks mean 'not extracted'</t>
        </is>
      </c>
    </row>
    <row r="10">
      <c r="B10" s="15" t="inlineStr">
        <is>
          <t>2025 est</t>
        </is>
      </c>
      <c r="C10" s="16" t="n">
        <v>1480</v>
      </c>
      <c r="G10" s="17">
        <f>ROW()</f>
        <v>10</v>
      </c>
    </row>
    <row r="11">
      <c r="B11" s="15" t="inlineStr">
        <is>
          <t>2025 9 months</t>
        </is>
      </c>
      <c r="C11" s="16" t="n">
        <v>1134</v>
      </c>
      <c r="G11" s="17">
        <f>ROW()</f>
        <v>11</v>
      </c>
    </row>
    <row r="12">
      <c r="B12" s="15" t="inlineStr">
        <is>
          <t>2025 re-est</t>
        </is>
      </c>
      <c r="C12" s="16" t="n">
        <v>1512</v>
      </c>
      <c r="G12" s="17">
        <f>ROW()</f>
        <v>12</v>
      </c>
    </row>
    <row r="13">
      <c r="B13" s="15" t="inlineStr">
        <is>
          <t>2026</t>
        </is>
      </c>
      <c r="C13" s="16" t="n">
        <v>1648</v>
      </c>
      <c r="G13" s="17">
        <f>ROW()</f>
        <v>13</v>
      </c>
    </row>
    <row r="14">
      <c r="B14" s="7" t="inlineStr">
        <is>
          <t>Total</t>
        </is>
      </c>
      <c r="E14" s="2" t="inlineStr">
        <is>
          <t>← selector empty: excluded from extraction, reused as control</t>
        </is>
      </c>
    </row>
    <row r="16">
      <c r="A16" s="13" t="inlineStr">
        <is>
          <t>Info_1 = G</t>
        </is>
      </c>
    </row>
    <row r="17">
      <c r="A17" s="11" t="inlineStr">
        <is>
          <t>As at = 30.09.2025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44" customWidth="1" min="5" max="5"/>
    <col width="10" customWidth="1" min="7" max="7"/>
  </cols>
  <sheetData>
    <row r="1">
      <c r="B1" s="1" t="inlineStr">
        <is>
          <t>02. EPI Projections — Hurricane</t>
        </is>
      </c>
    </row>
    <row r="2">
      <c r="A2" s="11" t="inlineStr">
        <is>
          <t>Section = Hurricane</t>
        </is>
      </c>
    </row>
    <row r="3">
      <c r="A3" s="11" t="inlineStr">
        <is>
          <t>Currency = MXN</t>
        </is>
      </c>
    </row>
    <row r="4">
      <c r="A4" s="11" t="inlineStr">
        <is>
          <t>Scale = 1,000,000</t>
        </is>
      </c>
    </row>
    <row r="5">
      <c r="A5" s="11" t="inlineStr">
        <is>
          <t>Share basis = 100%</t>
        </is>
      </c>
    </row>
    <row r="6">
      <c r="A6" s="11" t="inlineStr">
        <is>
          <t>Year basis = UW</t>
        </is>
      </c>
    </row>
    <row r="7">
      <c r="A7" s="11" t="inlineStr">
        <is>
          <t>Premium basis = GNPI</t>
        </is>
      </c>
    </row>
    <row r="8">
      <c r="B8" s="12" t="inlineStr">
        <is>
          <t>Periodo</t>
        </is>
      </c>
      <c r="C8" s="12" t="inlineStr">
        <is>
          <t>PPI</t>
        </is>
      </c>
      <c r="E8" s="2" t="inlineStr">
        <is>
          <t>← source header, never read</t>
        </is>
      </c>
    </row>
    <row r="9">
      <c r="A9" s="13" t="inlineStr">
        <is>
          <t>Header_1</t>
        </is>
      </c>
      <c r="B9" s="14" t="inlineStr">
        <is>
          <t>Year</t>
        </is>
      </c>
      <c r="C9" s="14" t="inlineStr">
        <is>
          <t>EPI</t>
        </is>
      </c>
      <c r="E9" s="2" t="inlineStr">
        <is>
          <t>← extraction row: blanks mean 'not extracted'</t>
        </is>
      </c>
    </row>
    <row r="10">
      <c r="B10" s="15" t="inlineStr">
        <is>
          <t>2025 est</t>
        </is>
      </c>
      <c r="C10" s="16" t="n">
        <v>1070</v>
      </c>
      <c r="G10" s="17">
        <f>ROW()</f>
        <v>10</v>
      </c>
    </row>
    <row r="11">
      <c r="B11" s="15" t="inlineStr">
        <is>
          <t>2025 9 months</t>
        </is>
      </c>
      <c r="C11" s="16" t="n">
        <v>823</v>
      </c>
      <c r="G11" s="17">
        <f>ROW()</f>
        <v>11</v>
      </c>
    </row>
    <row r="12">
      <c r="B12" s="15" t="inlineStr">
        <is>
          <t>2025 re-est</t>
        </is>
      </c>
      <c r="C12" s="16" t="n">
        <v>1098</v>
      </c>
      <c r="G12" s="17">
        <f>ROW()</f>
        <v>12</v>
      </c>
    </row>
    <row r="13">
      <c r="B13" s="15" t="inlineStr">
        <is>
          <t>2026</t>
        </is>
      </c>
      <c r="C13" s="16" t="n">
        <v>1180</v>
      </c>
      <c r="G13" s="17">
        <f>ROW()</f>
        <v>13</v>
      </c>
    </row>
    <row r="14">
      <c r="B14" s="7" t="inlineStr">
        <is>
          <t>Total</t>
        </is>
      </c>
      <c r="E14" s="2" t="inlineStr">
        <is>
          <t>← selector empty: excluded from extraction, reused as control</t>
        </is>
      </c>
    </row>
    <row r="16">
      <c r="A16" s="13" t="inlineStr">
        <is>
          <t>Info_1 = G</t>
        </is>
      </c>
    </row>
    <row r="17">
      <c r="A17" s="11" t="inlineStr">
        <is>
          <t>As at = 30.09.2025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4" max="14"/>
    <col width="46" customWidth="1" min="15" max="15"/>
  </cols>
  <sheetData>
    <row r="1">
      <c r="B1" s="1" t="inlineStr">
        <is>
          <t>06. Earthquake aggregates — Mexico</t>
        </is>
      </c>
    </row>
    <row r="2">
      <c r="B2" s="2" t="inlineStr">
        <is>
          <t>Three versions of the same zoning. The movement between them is the point — see the growth block written beneath.</t>
        </is>
      </c>
    </row>
    <row r="3">
      <c r="A3" s="11" t="inlineStr">
        <is>
          <t>Section = Earthquake</t>
        </is>
      </c>
    </row>
    <row r="4">
      <c r="A4" s="11" t="inlineStr">
        <is>
          <t>Currency = MXN</t>
        </is>
      </c>
    </row>
    <row r="5">
      <c r="A5" s="11" t="inlineStr">
        <is>
          <t>Scale = 1,000,000</t>
        </is>
      </c>
    </row>
    <row r="6">
      <c r="A6" s="11" t="inlineStr">
        <is>
          <t>Share basis = 100%</t>
        </is>
      </c>
    </row>
    <row r="7">
      <c r="A7" s="11" t="inlineStr">
        <is>
          <t>Exposure basis = Sum Insured</t>
        </is>
      </c>
    </row>
    <row r="8">
      <c r="A8" s="11" t="inlineStr">
        <is>
          <t>Zone scheme = Mexico EQ</t>
        </is>
      </c>
    </row>
    <row r="9">
      <c r="A9" s="11" t="inlineStr">
        <is>
          <t>Coinsurance = not deducted</t>
        </is>
      </c>
    </row>
    <row r="10">
      <c r="A10" s="11" t="inlineStr">
        <is>
          <t>Deductible = not deducted</t>
        </is>
      </c>
    </row>
    <row r="11">
      <c r="A11" s="11" t="inlineStr">
        <is>
          <t>Standard deductible = 2%</t>
        </is>
      </c>
    </row>
    <row r="12">
      <c r="A12" s="11" t="inlineStr">
        <is>
          <t>Limit basis = full sum insured</t>
        </is>
      </c>
    </row>
    <row r="13">
      <c r="A13" s="11" t="inlineStr">
        <is>
          <t>Multi-location = split by location</t>
        </is>
      </c>
    </row>
    <row r="14">
      <c r="A14" s="11" t="inlineStr">
        <is>
          <t>Includes fac = yes</t>
        </is>
      </c>
      <c r="B14" s="7" t="inlineStr">
        <is>
          <t>— 2025 9 months —</t>
        </is>
      </c>
    </row>
    <row r="15">
      <c r="A15" s="11" t="inlineStr">
        <is>
          <t>Period_1 = 2025 9 months</t>
        </is>
      </c>
    </row>
    <row r="16">
      <c r="A16" s="11" t="inlineStr">
        <is>
          <t>As at_1 = 30.09.2025</t>
        </is>
      </c>
    </row>
    <row r="17">
      <c r="B17" s="12" t="inlineStr">
        <is>
          <t>Zona</t>
        </is>
      </c>
      <c r="C17" s="12" t="inlineStr">
        <is>
          <t>Res edif.</t>
        </is>
      </c>
      <c r="D17" s="12" t="inlineStr">
        <is>
          <t>Res cont.</t>
        </is>
      </c>
      <c r="E17" s="12" t="inlineStr">
        <is>
          <t>Res PB</t>
        </is>
      </c>
      <c r="F17" s="12" t="inlineStr">
        <is>
          <t>Com edif.</t>
        </is>
      </c>
      <c r="G17" s="12" t="inlineStr">
        <is>
          <t>Com cont.</t>
        </is>
      </c>
      <c r="H17" s="12" t="inlineStr">
        <is>
          <t>Com PB</t>
        </is>
      </c>
      <c r="I17" s="12" t="inlineStr">
        <is>
          <t>Ind edif.</t>
        </is>
      </c>
      <c r="J17" s="12" t="inlineStr">
        <is>
          <t>Ind cont.</t>
        </is>
      </c>
      <c r="K17" s="12" t="inlineStr">
        <is>
          <t>Ind PB</t>
        </is>
      </c>
      <c r="L17" s="12" t="inlineStr">
        <is>
          <t>Suma</t>
        </is>
      </c>
      <c r="O17" s="2" t="inlineStr">
        <is>
          <t>← source header, never read</t>
        </is>
      </c>
    </row>
    <row r="18">
      <c r="A18" s="13" t="inlineStr">
        <is>
          <t>Header_1</t>
        </is>
      </c>
      <c r="B18" s="14" t="inlineStr">
        <is>
          <t>Zone</t>
        </is>
      </c>
      <c r="C18" s="14" t="inlineStr">
        <is>
          <t>Res Building</t>
        </is>
      </c>
      <c r="D18" s="14" t="inlineStr">
        <is>
          <t>Res Content</t>
        </is>
      </c>
      <c r="E18" s="14" t="inlineStr">
        <is>
          <t>Res BI</t>
        </is>
      </c>
      <c r="F18" s="14" t="inlineStr">
        <is>
          <t>Com Building</t>
        </is>
      </c>
      <c r="G18" s="14" t="inlineStr">
        <is>
          <t>Com Content</t>
        </is>
      </c>
      <c r="H18" s="14" t="inlineStr">
        <is>
          <t>Com BI</t>
        </is>
      </c>
      <c r="I18" s="14" t="inlineStr">
        <is>
          <t>Ind Building</t>
        </is>
      </c>
      <c r="J18" s="14" t="inlineStr">
        <is>
          <t>Ind Content</t>
        </is>
      </c>
      <c r="K18" s="14" t="inlineStr">
        <is>
          <t>Ind BI</t>
        </is>
      </c>
      <c r="L18" s="14" t="inlineStr">
        <is>
          <t>Total</t>
        </is>
      </c>
      <c r="O18" s="2" t="inlineStr">
        <is>
          <t>← extraction row: blanks mean 'not extracted'</t>
        </is>
      </c>
    </row>
    <row r="19">
      <c r="B19" s="4" t="inlineStr">
        <is>
          <t>1</t>
        </is>
      </c>
      <c r="C19" s="16" t="n">
        <v>4820</v>
      </c>
      <c r="D19" s="16" t="n">
        <v>1205</v>
      </c>
      <c r="E19" s="16" t="n">
        <v>180</v>
      </c>
      <c r="F19" s="16" t="n">
        <v>3140</v>
      </c>
      <c r="G19" s="16" t="n">
        <v>940</v>
      </c>
      <c r="H19" s="16" t="n">
        <v>620</v>
      </c>
      <c r="I19" s="16" t="n">
        <v>1880</v>
      </c>
      <c r="J19" s="16" t="n">
        <v>560</v>
      </c>
      <c r="K19" s="16" t="n">
        <v>410</v>
      </c>
      <c r="L19" s="16" t="n">
        <v>13755</v>
      </c>
      <c r="N19" s="17">
        <f>ROW()</f>
        <v>19</v>
      </c>
    </row>
    <row r="20">
      <c r="B20" s="4" t="inlineStr">
        <is>
          <t>2</t>
        </is>
      </c>
      <c r="C20" s="16" t="n">
        <v>2310</v>
      </c>
      <c r="D20" s="16" t="n">
        <v>578</v>
      </c>
      <c r="E20" s="16" t="n">
        <v>86</v>
      </c>
      <c r="F20" s="16" t="n">
        <v>1505</v>
      </c>
      <c r="G20" s="16" t="n">
        <v>451</v>
      </c>
      <c r="H20" s="16" t="n">
        <v>298</v>
      </c>
      <c r="I20" s="16" t="n">
        <v>902</v>
      </c>
      <c r="J20" s="16" t="n">
        <v>270</v>
      </c>
      <c r="K20" s="16" t="n">
        <v>197</v>
      </c>
      <c r="L20" s="16" t="n">
        <v>6597</v>
      </c>
      <c r="N20" s="17">
        <f>ROW()</f>
        <v>20</v>
      </c>
    </row>
    <row r="21">
      <c r="B21" s="4" t="inlineStr">
        <is>
          <t>13a</t>
        </is>
      </c>
      <c r="C21" s="16" t="n">
        <v>8940</v>
      </c>
      <c r="D21" s="16" t="n">
        <v>2235</v>
      </c>
      <c r="E21" s="16" t="n">
        <v>334</v>
      </c>
      <c r="F21" s="16" t="n">
        <v>5820</v>
      </c>
      <c r="G21" s="16" t="n">
        <v>1746</v>
      </c>
      <c r="H21" s="16" t="n">
        <v>1152</v>
      </c>
      <c r="I21" s="16" t="n">
        <v>3490</v>
      </c>
      <c r="J21" s="16" t="n">
        <v>1040</v>
      </c>
      <c r="K21" s="16" t="n">
        <v>762</v>
      </c>
      <c r="L21" s="16" t="n">
        <v>25519</v>
      </c>
      <c r="N21" s="17">
        <f>ROW()</f>
        <v>21</v>
      </c>
    </row>
    <row r="22">
      <c r="B22" s="4" t="inlineStr">
        <is>
          <t>13b</t>
        </is>
      </c>
      <c r="C22" s="16" t="n">
        <v>3170</v>
      </c>
      <c r="D22" s="16" t="n">
        <v>792</v>
      </c>
      <c r="E22" s="16" t="n">
        <v>118</v>
      </c>
      <c r="F22" s="16" t="n">
        <v>2064</v>
      </c>
      <c r="G22" s="16" t="n">
        <v>619</v>
      </c>
      <c r="H22" s="16" t="n">
        <v>409</v>
      </c>
      <c r="I22" s="16" t="n">
        <v>1238</v>
      </c>
      <c r="J22" s="16" t="n">
        <v>369</v>
      </c>
      <c r="K22" s="16" t="n">
        <v>270</v>
      </c>
      <c r="L22" s="16" t="n">
        <v>9049</v>
      </c>
      <c r="N22" s="17">
        <f>ROW()</f>
        <v>22</v>
      </c>
    </row>
    <row r="23">
      <c r="B23" s="4" t="inlineStr">
        <is>
          <t>14a</t>
        </is>
      </c>
      <c r="C23" s="16" t="n">
        <v>12460</v>
      </c>
      <c r="D23" s="16" t="n">
        <v>3115</v>
      </c>
      <c r="E23" s="16" t="n">
        <v>466</v>
      </c>
      <c r="F23" s="16" t="n">
        <v>8112</v>
      </c>
      <c r="G23" s="16" t="n">
        <v>2433</v>
      </c>
      <c r="H23" s="16" t="n">
        <v>1606</v>
      </c>
      <c r="I23" s="16" t="n">
        <v>4867</v>
      </c>
      <c r="J23" s="16" t="n">
        <v>1450</v>
      </c>
      <c r="K23" s="16" t="n">
        <v>1062</v>
      </c>
      <c r="L23" s="16" t="n">
        <v>35571</v>
      </c>
      <c r="N23" s="17">
        <f>ROW()</f>
        <v>23</v>
      </c>
    </row>
    <row r="24">
      <c r="B24" s="4" t="inlineStr">
        <is>
          <t>14c</t>
        </is>
      </c>
      <c r="C24" s="16" t="n">
        <v>1890</v>
      </c>
      <c r="D24" s="16" t="n">
        <v>472</v>
      </c>
      <c r="E24" s="16" t="n">
        <v>70</v>
      </c>
      <c r="F24" s="16" t="n">
        <v>1230</v>
      </c>
      <c r="G24" s="16" t="n">
        <v>369</v>
      </c>
      <c r="H24" s="16" t="n">
        <v>243</v>
      </c>
      <c r="I24" s="16" t="n">
        <v>738</v>
      </c>
      <c r="J24" s="16" t="n">
        <v>220</v>
      </c>
      <c r="K24" s="16" t="n">
        <v>161</v>
      </c>
      <c r="L24" s="16" t="n">
        <v>5393</v>
      </c>
      <c r="N24" s="17">
        <f>ROW()</f>
        <v>24</v>
      </c>
    </row>
    <row r="25">
      <c r="B25" s="4" t="inlineStr">
        <is>
          <t>22</t>
        </is>
      </c>
      <c r="C25" s="16" t="n">
        <v>6540</v>
      </c>
      <c r="D25" s="16" t="n">
        <v>1635</v>
      </c>
      <c r="E25" s="16" t="n">
        <v>244</v>
      </c>
      <c r="F25" s="16" t="n">
        <v>4258</v>
      </c>
      <c r="G25" s="16" t="n">
        <v>1277</v>
      </c>
      <c r="H25" s="16" t="n">
        <v>843</v>
      </c>
      <c r="I25" s="16" t="n">
        <v>2555</v>
      </c>
      <c r="J25" s="16" t="n">
        <v>761</v>
      </c>
      <c r="K25" s="16" t="n">
        <v>558</v>
      </c>
      <c r="L25" s="16" t="n">
        <v>18671</v>
      </c>
      <c r="N25" s="17">
        <f>ROW()</f>
        <v>25</v>
      </c>
    </row>
    <row r="26">
      <c r="B26" s="4" t="inlineStr">
        <is>
          <t>35</t>
        </is>
      </c>
      <c r="C26" s="16" t="n">
        <v>980</v>
      </c>
      <c r="D26" s="16" t="n">
        <v>245</v>
      </c>
      <c r="E26" s="16" t="n">
        <v>36</v>
      </c>
      <c r="F26" s="16" t="n">
        <v>638</v>
      </c>
      <c r="G26" s="16" t="n">
        <v>191</v>
      </c>
      <c r="H26" s="16" t="n">
        <v>126</v>
      </c>
      <c r="I26" s="16" t="n">
        <v>383</v>
      </c>
      <c r="J26" s="16" t="n">
        <v>114</v>
      </c>
      <c r="K26" s="16" t="n">
        <v>83</v>
      </c>
      <c r="L26" s="16" t="n">
        <v>2796</v>
      </c>
      <c r="N26" s="17">
        <f>ROW()</f>
        <v>26</v>
      </c>
    </row>
    <row r="27">
      <c r="B27" s="4" t="inlineStr">
        <is>
          <t>48</t>
        </is>
      </c>
      <c r="C27" s="16" t="n">
        <v>15720</v>
      </c>
      <c r="D27" s="16" t="n">
        <v>3930</v>
      </c>
      <c r="E27" s="16" t="n">
        <v>588</v>
      </c>
      <c r="F27" s="16" t="n">
        <v>10233</v>
      </c>
      <c r="G27" s="16" t="n">
        <v>3069</v>
      </c>
      <c r="H27" s="16" t="n">
        <v>2026</v>
      </c>
      <c r="I27" s="16" t="n">
        <v>6140</v>
      </c>
      <c r="J27" s="16" t="n">
        <v>1829</v>
      </c>
      <c r="K27" s="16" t="n">
        <v>1340</v>
      </c>
      <c r="L27" s="16" t="n">
        <v>44875</v>
      </c>
      <c r="N27" s="17">
        <f>ROW()</f>
        <v>27</v>
      </c>
    </row>
    <row r="28">
      <c r="B28" s="7" t="inlineStr">
        <is>
          <t>Total</t>
        </is>
      </c>
      <c r="C28" s="18">
        <f>SUM(C19:C27)</f>
        <v>56830</v>
      </c>
      <c r="D28" s="18">
        <f>SUM(D19:D27)</f>
        <v>14207</v>
      </c>
      <c r="E28" s="18">
        <f>SUM(E19:E27)</f>
        <v>2122</v>
      </c>
      <c r="F28" s="18">
        <f>SUM(F19:F27)</f>
        <v>37000</v>
      </c>
      <c r="G28" s="18">
        <f>SUM(G19:G27)</f>
        <v>11095</v>
      </c>
      <c r="H28" s="18">
        <f>SUM(H19:H27)</f>
        <v>7323</v>
      </c>
      <c r="I28" s="18">
        <f>SUM(I19:I27)</f>
        <v>22193</v>
      </c>
      <c r="J28" s="18">
        <f>SUM(J19:J27)</f>
        <v>6613</v>
      </c>
      <c r="K28" s="18">
        <f>SUM(K19:K27)</f>
        <v>4843</v>
      </c>
      <c r="L28" s="18">
        <f>SUM(L19:L27)</f>
        <v>162226</v>
      </c>
      <c r="O28" s="2" t="inlineStr">
        <is>
          <t>← selector empty: excluded from extraction, reused as control</t>
        </is>
      </c>
    </row>
    <row r="29">
      <c r="A29" s="13" t="inlineStr">
        <is>
          <t>Info_1 = N</t>
        </is>
      </c>
    </row>
    <row r="31">
      <c r="B31" s="7" t="inlineStr">
        <is>
          <t>— 2026 at inception —</t>
        </is>
      </c>
    </row>
    <row r="32">
      <c r="A32" s="11" t="inlineStr">
        <is>
          <t>Period_2 = 2026 at inception</t>
        </is>
      </c>
    </row>
    <row r="33">
      <c r="A33" s="11" t="inlineStr">
        <is>
          <t>As at_2 = 01.01.2026</t>
        </is>
      </c>
    </row>
    <row r="34">
      <c r="B34" s="12" t="inlineStr">
        <is>
          <t>Zona</t>
        </is>
      </c>
      <c r="C34" s="12" t="inlineStr">
        <is>
          <t>Res edif.</t>
        </is>
      </c>
      <c r="D34" s="12" t="inlineStr">
        <is>
          <t>Res cont.</t>
        </is>
      </c>
      <c r="E34" s="12" t="inlineStr">
        <is>
          <t>Res PB</t>
        </is>
      </c>
      <c r="F34" s="12" t="inlineStr">
        <is>
          <t>Com edif.</t>
        </is>
      </c>
      <c r="G34" s="12" t="inlineStr">
        <is>
          <t>Com cont.</t>
        </is>
      </c>
      <c r="H34" s="12" t="inlineStr">
        <is>
          <t>Com PB</t>
        </is>
      </c>
      <c r="I34" s="12" t="inlineStr">
        <is>
          <t>Ind edif.</t>
        </is>
      </c>
      <c r="J34" s="12" t="inlineStr">
        <is>
          <t>Ind cont.</t>
        </is>
      </c>
      <c r="K34" s="12" t="inlineStr">
        <is>
          <t>Ind PB</t>
        </is>
      </c>
      <c r="L34" s="12" t="inlineStr">
        <is>
          <t>Suma</t>
        </is>
      </c>
      <c r="O34" s="2" t="inlineStr">
        <is>
          <t>← source header, never read</t>
        </is>
      </c>
    </row>
    <row r="35">
      <c r="A35" s="13" t="inlineStr">
        <is>
          <t>Header_2</t>
        </is>
      </c>
      <c r="B35" s="14" t="inlineStr">
        <is>
          <t>Zone</t>
        </is>
      </c>
      <c r="C35" s="14" t="inlineStr">
        <is>
          <t>Res Building</t>
        </is>
      </c>
      <c r="D35" s="14" t="inlineStr">
        <is>
          <t>Res Content</t>
        </is>
      </c>
      <c r="E35" s="14" t="inlineStr">
        <is>
          <t>Res BI</t>
        </is>
      </c>
      <c r="F35" s="14" t="inlineStr">
        <is>
          <t>Com Building</t>
        </is>
      </c>
      <c r="G35" s="14" t="inlineStr">
        <is>
          <t>Com Content</t>
        </is>
      </c>
      <c r="H35" s="14" t="inlineStr">
        <is>
          <t>Com BI</t>
        </is>
      </c>
      <c r="I35" s="14" t="inlineStr">
        <is>
          <t>Ind Building</t>
        </is>
      </c>
      <c r="J35" s="14" t="inlineStr">
        <is>
          <t>Ind Content</t>
        </is>
      </c>
      <c r="K35" s="14" t="inlineStr">
        <is>
          <t>Ind BI</t>
        </is>
      </c>
      <c r="L35" s="14" t="inlineStr">
        <is>
          <t>Total</t>
        </is>
      </c>
      <c r="O35" s="2" t="inlineStr">
        <is>
          <t>← extraction row: blanks mean 'not extracted'</t>
        </is>
      </c>
    </row>
    <row r="36">
      <c r="B36" s="4" t="inlineStr">
        <is>
          <t>1</t>
        </is>
      </c>
      <c r="C36" s="16" t="n">
        <v>5119</v>
      </c>
      <c r="D36" s="16" t="n">
        <v>1280</v>
      </c>
      <c r="E36" s="16" t="n">
        <v>191</v>
      </c>
      <c r="F36" s="16" t="n">
        <v>3335</v>
      </c>
      <c r="G36" s="16" t="n">
        <v>998</v>
      </c>
      <c r="H36" s="16" t="n">
        <v>658</v>
      </c>
      <c r="I36" s="16" t="n">
        <v>1997</v>
      </c>
      <c r="J36" s="16" t="n">
        <v>595</v>
      </c>
      <c r="K36" s="16" t="n">
        <v>435</v>
      </c>
      <c r="L36" s="16" t="n">
        <v>14608</v>
      </c>
      <c r="N36" s="17">
        <f>ROW()</f>
        <v>36</v>
      </c>
    </row>
    <row r="37">
      <c r="B37" s="4" t="inlineStr">
        <is>
          <t>2</t>
        </is>
      </c>
      <c r="C37" s="16" t="n">
        <v>2453</v>
      </c>
      <c r="D37" s="16" t="n">
        <v>614</v>
      </c>
      <c r="E37" s="16" t="n">
        <v>91</v>
      </c>
      <c r="F37" s="16" t="n">
        <v>1598</v>
      </c>
      <c r="G37" s="16" t="n">
        <v>479</v>
      </c>
      <c r="H37" s="16" t="n">
        <v>316</v>
      </c>
      <c r="I37" s="16" t="n">
        <v>958</v>
      </c>
      <c r="J37" s="16" t="n">
        <v>287</v>
      </c>
      <c r="K37" s="16" t="n">
        <v>209</v>
      </c>
      <c r="L37" s="16" t="n">
        <v>7005</v>
      </c>
      <c r="N37" s="17">
        <f>ROW()</f>
        <v>37</v>
      </c>
    </row>
    <row r="38">
      <c r="B38" s="4" t="inlineStr">
        <is>
          <t>13a</t>
        </is>
      </c>
      <c r="C38" s="16" t="n">
        <v>9494</v>
      </c>
      <c r="D38" s="16" t="n">
        <v>2374</v>
      </c>
      <c r="E38" s="16" t="n">
        <v>355</v>
      </c>
      <c r="F38" s="16" t="n">
        <v>6181</v>
      </c>
      <c r="G38" s="16" t="n">
        <v>1854</v>
      </c>
      <c r="H38" s="16" t="n">
        <v>1223</v>
      </c>
      <c r="I38" s="16" t="n">
        <v>3706</v>
      </c>
      <c r="J38" s="16" t="n">
        <v>1104</v>
      </c>
      <c r="K38" s="16" t="n">
        <v>809</v>
      </c>
      <c r="L38" s="16" t="n">
        <v>27100</v>
      </c>
      <c r="N38" s="17">
        <f>ROW()</f>
        <v>38</v>
      </c>
    </row>
    <row r="39">
      <c r="B39" s="4" t="inlineStr">
        <is>
          <t>13b</t>
        </is>
      </c>
      <c r="C39" s="16" t="n">
        <v>3367</v>
      </c>
      <c r="D39" s="16" t="n">
        <v>841</v>
      </c>
      <c r="E39" s="16" t="n">
        <v>125</v>
      </c>
      <c r="F39" s="16" t="n">
        <v>2192</v>
      </c>
      <c r="G39" s="16" t="n">
        <v>657</v>
      </c>
      <c r="H39" s="16" t="n">
        <v>434</v>
      </c>
      <c r="I39" s="16" t="n">
        <v>1315</v>
      </c>
      <c r="J39" s="16" t="n">
        <v>392</v>
      </c>
      <c r="K39" s="16" t="n">
        <v>287</v>
      </c>
      <c r="L39" s="16" t="n">
        <v>9610</v>
      </c>
      <c r="N39" s="17">
        <f>ROW()</f>
        <v>39</v>
      </c>
    </row>
    <row r="40">
      <c r="B40" s="4" t="inlineStr">
        <is>
          <t>14a</t>
        </is>
      </c>
      <c r="C40" s="16" t="n">
        <v>13233</v>
      </c>
      <c r="D40" s="16" t="n">
        <v>3308</v>
      </c>
      <c r="E40" s="16" t="n">
        <v>495</v>
      </c>
      <c r="F40" s="16" t="n">
        <v>8615</v>
      </c>
      <c r="G40" s="16" t="n">
        <v>2584</v>
      </c>
      <c r="H40" s="16" t="n">
        <v>1706</v>
      </c>
      <c r="I40" s="16" t="n">
        <v>5169</v>
      </c>
      <c r="J40" s="16" t="n">
        <v>1540</v>
      </c>
      <c r="K40" s="16" t="n">
        <v>1128</v>
      </c>
      <c r="L40" s="16" t="n">
        <v>37778</v>
      </c>
      <c r="N40" s="17">
        <f>ROW()</f>
        <v>40</v>
      </c>
    </row>
    <row r="41">
      <c r="B41" s="4" t="inlineStr">
        <is>
          <t>14c</t>
        </is>
      </c>
      <c r="C41" s="16" t="n">
        <v>2007</v>
      </c>
      <c r="D41" s="16" t="n">
        <v>501</v>
      </c>
      <c r="E41" s="16" t="n">
        <v>74</v>
      </c>
      <c r="F41" s="16" t="n">
        <v>1306</v>
      </c>
      <c r="G41" s="16" t="n">
        <v>392</v>
      </c>
      <c r="H41" s="16" t="n">
        <v>258</v>
      </c>
      <c r="I41" s="16" t="n">
        <v>784</v>
      </c>
      <c r="J41" s="16" t="n">
        <v>234</v>
      </c>
      <c r="K41" s="16" t="n">
        <v>171</v>
      </c>
      <c r="L41" s="16" t="n">
        <v>5727</v>
      </c>
      <c r="N41" s="17">
        <f>ROW()</f>
        <v>41</v>
      </c>
    </row>
    <row r="42">
      <c r="B42" s="4" t="inlineStr">
        <is>
          <t>22</t>
        </is>
      </c>
      <c r="C42" s="16" t="n">
        <v>6945</v>
      </c>
      <c r="D42" s="16" t="n">
        <v>1736</v>
      </c>
      <c r="E42" s="16" t="n">
        <v>259</v>
      </c>
      <c r="F42" s="16" t="n">
        <v>4522</v>
      </c>
      <c r="G42" s="16" t="n">
        <v>1356</v>
      </c>
      <c r="H42" s="16" t="n">
        <v>895</v>
      </c>
      <c r="I42" s="16" t="n">
        <v>2713</v>
      </c>
      <c r="J42" s="16" t="n">
        <v>808</v>
      </c>
      <c r="K42" s="16" t="n">
        <v>593</v>
      </c>
      <c r="L42" s="16" t="n">
        <v>19827</v>
      </c>
      <c r="N42" s="17">
        <f>ROW()</f>
        <v>42</v>
      </c>
    </row>
    <row r="43">
      <c r="B43" s="4" t="inlineStr">
        <is>
          <t>35</t>
        </is>
      </c>
      <c r="C43" s="16" t="n">
        <v>1041</v>
      </c>
      <c r="D43" s="16" t="n">
        <v>260</v>
      </c>
      <c r="E43" s="16" t="n">
        <v>38</v>
      </c>
      <c r="F43" s="16" t="n">
        <v>678</v>
      </c>
      <c r="G43" s="16" t="n">
        <v>203</v>
      </c>
      <c r="H43" s="16" t="n">
        <v>134</v>
      </c>
      <c r="I43" s="16" t="n">
        <v>407</v>
      </c>
      <c r="J43" s="16" t="n">
        <v>121</v>
      </c>
      <c r="K43" s="16" t="n">
        <v>88</v>
      </c>
      <c r="L43" s="16" t="n">
        <v>2970</v>
      </c>
      <c r="N43" s="17">
        <f>ROW()</f>
        <v>43</v>
      </c>
    </row>
    <row r="44">
      <c r="B44" s="4" t="inlineStr">
        <is>
          <t>48</t>
        </is>
      </c>
      <c r="C44" s="16" t="n">
        <v>16695</v>
      </c>
      <c r="D44" s="16" t="n">
        <v>4174</v>
      </c>
      <c r="E44" s="16" t="n">
        <v>624</v>
      </c>
      <c r="F44" s="16" t="n">
        <v>10867</v>
      </c>
      <c r="G44" s="16" t="n">
        <v>3259</v>
      </c>
      <c r="H44" s="16" t="n">
        <v>2152</v>
      </c>
      <c r="I44" s="16" t="n">
        <v>6521</v>
      </c>
      <c r="J44" s="16" t="n">
        <v>1942</v>
      </c>
      <c r="K44" s="16" t="n">
        <v>1423</v>
      </c>
      <c r="L44" s="16" t="n">
        <v>47657</v>
      </c>
      <c r="N44" s="17">
        <f>ROW()</f>
        <v>44</v>
      </c>
    </row>
    <row r="45">
      <c r="B45" s="7" t="inlineStr">
        <is>
          <t>Total</t>
        </is>
      </c>
      <c r="C45" s="18">
        <f>SUM(C36:C44)</f>
        <v>60354</v>
      </c>
      <c r="D45" s="18">
        <f>SUM(D36:D44)</f>
        <v>15088</v>
      </c>
      <c r="E45" s="18">
        <f>SUM(E36:E44)</f>
        <v>2252</v>
      </c>
      <c r="F45" s="18">
        <f>SUM(F36:F44)</f>
        <v>39294</v>
      </c>
      <c r="G45" s="18">
        <f>SUM(G36:G44)</f>
        <v>11782</v>
      </c>
      <c r="H45" s="18">
        <f>SUM(H36:H44)</f>
        <v>7776</v>
      </c>
      <c r="I45" s="18">
        <f>SUM(I36:I44)</f>
        <v>23570</v>
      </c>
      <c r="J45" s="18">
        <f>SUM(J36:J44)</f>
        <v>7023</v>
      </c>
      <c r="K45" s="18">
        <f>SUM(K36:K44)</f>
        <v>5143</v>
      </c>
      <c r="L45" s="18">
        <f>SUM(L36:L44)</f>
        <v>172282</v>
      </c>
      <c r="O45" s="2" t="inlineStr">
        <is>
          <t>← selector empty: excluded from extraction, reused as control</t>
        </is>
      </c>
    </row>
    <row r="46">
      <c r="A46" s="13" t="inlineStr">
        <is>
          <t>Info_2 = N</t>
        </is>
      </c>
    </row>
    <row r="48">
      <c r="B48" s="7" t="inlineStr">
        <is>
          <t>— 2026 at expiry —</t>
        </is>
      </c>
    </row>
    <row r="49">
      <c r="A49" s="11" t="inlineStr">
        <is>
          <t>Period_3 = 2026 at expiry</t>
        </is>
      </c>
    </row>
    <row r="50">
      <c r="A50" s="11" t="inlineStr">
        <is>
          <t>As at_3 = 31.12.2026</t>
        </is>
      </c>
    </row>
    <row r="51">
      <c r="B51" s="12" t="inlineStr">
        <is>
          <t>Zona</t>
        </is>
      </c>
      <c r="C51" s="12" t="inlineStr">
        <is>
          <t>Res edif.</t>
        </is>
      </c>
      <c r="D51" s="12" t="inlineStr">
        <is>
          <t>Res cont.</t>
        </is>
      </c>
      <c r="E51" s="12" t="inlineStr">
        <is>
          <t>Res PB</t>
        </is>
      </c>
      <c r="F51" s="12" t="inlineStr">
        <is>
          <t>Com edif.</t>
        </is>
      </c>
      <c r="G51" s="12" t="inlineStr">
        <is>
          <t>Com cont.</t>
        </is>
      </c>
      <c r="H51" s="12" t="inlineStr">
        <is>
          <t>Com PB</t>
        </is>
      </c>
      <c r="I51" s="12" t="inlineStr">
        <is>
          <t>Ind edif.</t>
        </is>
      </c>
      <c r="J51" s="12" t="inlineStr">
        <is>
          <t>Ind cont.</t>
        </is>
      </c>
      <c r="K51" s="12" t="inlineStr">
        <is>
          <t>Ind PB</t>
        </is>
      </c>
      <c r="L51" s="12" t="inlineStr">
        <is>
          <t>Suma</t>
        </is>
      </c>
      <c r="O51" s="2" t="inlineStr">
        <is>
          <t>← source header, never read</t>
        </is>
      </c>
    </row>
    <row r="52">
      <c r="A52" s="13" t="inlineStr">
        <is>
          <t>Header_3</t>
        </is>
      </c>
      <c r="B52" s="14" t="inlineStr">
        <is>
          <t>Zone</t>
        </is>
      </c>
      <c r="C52" s="14" t="inlineStr">
        <is>
          <t>Res Building</t>
        </is>
      </c>
      <c r="D52" s="14" t="inlineStr">
        <is>
          <t>Res Content</t>
        </is>
      </c>
      <c r="E52" s="14" t="inlineStr">
        <is>
          <t>Res BI</t>
        </is>
      </c>
      <c r="F52" s="14" t="inlineStr">
        <is>
          <t>Com Building</t>
        </is>
      </c>
      <c r="G52" s="14" t="inlineStr">
        <is>
          <t>Com Content</t>
        </is>
      </c>
      <c r="H52" s="14" t="inlineStr">
        <is>
          <t>Com BI</t>
        </is>
      </c>
      <c r="I52" s="14" t="inlineStr">
        <is>
          <t>Ind Building</t>
        </is>
      </c>
      <c r="J52" s="14" t="inlineStr">
        <is>
          <t>Ind Content</t>
        </is>
      </c>
      <c r="K52" s="14" t="inlineStr">
        <is>
          <t>Ind BI</t>
        </is>
      </c>
      <c r="L52" s="14" t="inlineStr">
        <is>
          <t>Total</t>
        </is>
      </c>
      <c r="O52" s="2" t="inlineStr">
        <is>
          <t>← extraction row: blanks mean 'not extracted'</t>
        </is>
      </c>
    </row>
    <row r="53">
      <c r="B53" s="4" t="inlineStr">
        <is>
          <t>1</t>
        </is>
      </c>
      <c r="C53" s="16" t="n">
        <v>5437</v>
      </c>
      <c r="D53" s="16" t="n">
        <v>1359</v>
      </c>
      <c r="E53" s="16" t="n">
        <v>203</v>
      </c>
      <c r="F53" s="16" t="n">
        <v>3542</v>
      </c>
      <c r="G53" s="16" t="n">
        <v>1060</v>
      </c>
      <c r="H53" s="16" t="n">
        <v>699</v>
      </c>
      <c r="I53" s="16" t="n">
        <v>2121</v>
      </c>
      <c r="J53" s="16" t="n">
        <v>632</v>
      </c>
      <c r="K53" s="16" t="n">
        <v>462</v>
      </c>
      <c r="L53" s="16" t="n">
        <v>15515</v>
      </c>
      <c r="N53" s="17">
        <f>ROW()</f>
        <v>53</v>
      </c>
    </row>
    <row r="54">
      <c r="B54" s="4" t="inlineStr">
        <is>
          <t>2</t>
        </is>
      </c>
      <c r="C54" s="16" t="n">
        <v>2606</v>
      </c>
      <c r="D54" s="16" t="n">
        <v>652</v>
      </c>
      <c r="E54" s="16" t="n">
        <v>97</v>
      </c>
      <c r="F54" s="16" t="n">
        <v>1698</v>
      </c>
      <c r="G54" s="16" t="n">
        <v>509</v>
      </c>
      <c r="H54" s="16" t="n">
        <v>336</v>
      </c>
      <c r="I54" s="16" t="n">
        <v>1017</v>
      </c>
      <c r="J54" s="16" t="n">
        <v>305</v>
      </c>
      <c r="K54" s="16" t="n">
        <v>222</v>
      </c>
      <c r="L54" s="16" t="n">
        <v>7442</v>
      </c>
      <c r="N54" s="17">
        <f>ROW()</f>
        <v>54</v>
      </c>
    </row>
    <row r="55">
      <c r="B55" s="4" t="inlineStr">
        <is>
          <t>13a</t>
        </is>
      </c>
      <c r="C55" s="16" t="n">
        <v>10084</v>
      </c>
      <c r="D55" s="16" t="n">
        <v>2521</v>
      </c>
      <c r="E55" s="16" t="n">
        <v>377</v>
      </c>
      <c r="F55" s="16" t="n">
        <v>6565</v>
      </c>
      <c r="G55" s="16" t="n">
        <v>1969</v>
      </c>
      <c r="H55" s="16" t="n">
        <v>1299</v>
      </c>
      <c r="I55" s="16" t="n">
        <v>3937</v>
      </c>
      <c r="J55" s="16" t="n">
        <v>1173</v>
      </c>
      <c r="K55" s="16" t="n">
        <v>860</v>
      </c>
      <c r="L55" s="16" t="n">
        <v>28785</v>
      </c>
      <c r="N55" s="17">
        <f>ROW()</f>
        <v>55</v>
      </c>
    </row>
    <row r="56">
      <c r="B56" s="4" t="inlineStr">
        <is>
          <t>13b</t>
        </is>
      </c>
      <c r="C56" s="16" t="n">
        <v>3576</v>
      </c>
      <c r="D56" s="16" t="n">
        <v>893</v>
      </c>
      <c r="E56" s="16" t="n">
        <v>133</v>
      </c>
      <c r="F56" s="16" t="n">
        <v>2328</v>
      </c>
      <c r="G56" s="16" t="n">
        <v>698</v>
      </c>
      <c r="H56" s="16" t="n">
        <v>461</v>
      </c>
      <c r="I56" s="16" t="n">
        <v>1396</v>
      </c>
      <c r="J56" s="16" t="n">
        <v>416</v>
      </c>
      <c r="K56" s="16" t="n">
        <v>305</v>
      </c>
      <c r="L56" s="16" t="n">
        <v>10206</v>
      </c>
      <c r="N56" s="17">
        <f>ROW()</f>
        <v>56</v>
      </c>
    </row>
    <row r="57">
      <c r="B57" s="4" t="inlineStr">
        <is>
          <t>14a</t>
        </is>
      </c>
      <c r="C57" s="16" t="n">
        <v>14055</v>
      </c>
      <c r="D57" s="16" t="n">
        <v>3514</v>
      </c>
      <c r="E57" s="16" t="n">
        <v>526</v>
      </c>
      <c r="F57" s="16" t="n">
        <v>9150</v>
      </c>
      <c r="G57" s="16" t="n">
        <v>2744</v>
      </c>
      <c r="H57" s="16" t="n">
        <v>1812</v>
      </c>
      <c r="I57" s="16" t="n">
        <v>5490</v>
      </c>
      <c r="J57" s="16" t="n">
        <v>1636</v>
      </c>
      <c r="K57" s="16" t="n">
        <v>1198</v>
      </c>
      <c r="L57" s="16" t="n">
        <v>40125</v>
      </c>
      <c r="N57" s="17">
        <f>ROW()</f>
        <v>57</v>
      </c>
    </row>
    <row r="58">
      <c r="B58" s="4" t="inlineStr">
        <is>
          <t>14c</t>
        </is>
      </c>
      <c r="C58" s="16" t="n">
        <v>2132</v>
      </c>
      <c r="D58" s="16" t="n">
        <v>532</v>
      </c>
      <c r="E58" s="16" t="n">
        <v>79</v>
      </c>
      <c r="F58" s="16" t="n">
        <v>1387</v>
      </c>
      <c r="G58" s="16" t="n">
        <v>416</v>
      </c>
      <c r="H58" s="16" t="n">
        <v>274</v>
      </c>
      <c r="I58" s="16" t="n">
        <v>832</v>
      </c>
      <c r="J58" s="16" t="n">
        <v>248</v>
      </c>
      <c r="K58" s="16" t="n">
        <v>182</v>
      </c>
      <c r="L58" s="16" t="n">
        <v>6082</v>
      </c>
      <c r="N58" s="17">
        <f>ROW()</f>
        <v>58</v>
      </c>
    </row>
    <row r="59">
      <c r="B59" s="4" t="inlineStr">
        <is>
          <t>22</t>
        </is>
      </c>
      <c r="C59" s="16" t="n">
        <v>7377</v>
      </c>
      <c r="D59" s="16" t="n">
        <v>1844</v>
      </c>
      <c r="E59" s="16" t="n">
        <v>275</v>
      </c>
      <c r="F59" s="16" t="n">
        <v>4803</v>
      </c>
      <c r="G59" s="16" t="n">
        <v>1440</v>
      </c>
      <c r="H59" s="16" t="n">
        <v>951</v>
      </c>
      <c r="I59" s="16" t="n">
        <v>2882</v>
      </c>
      <c r="J59" s="16" t="n">
        <v>858</v>
      </c>
      <c r="K59" s="16" t="n">
        <v>629</v>
      </c>
      <c r="L59" s="16" t="n">
        <v>21059</v>
      </c>
      <c r="N59" s="17">
        <f>ROW()</f>
        <v>59</v>
      </c>
    </row>
    <row r="60">
      <c r="B60" s="4" t="inlineStr">
        <is>
          <t>35</t>
        </is>
      </c>
      <c r="C60" s="16" t="n">
        <v>1105</v>
      </c>
      <c r="D60" s="16" t="n">
        <v>276</v>
      </c>
      <c r="E60" s="16" t="n">
        <v>41</v>
      </c>
      <c r="F60" s="16" t="n">
        <v>720</v>
      </c>
      <c r="G60" s="16" t="n">
        <v>215</v>
      </c>
      <c r="H60" s="16" t="n">
        <v>142</v>
      </c>
      <c r="I60" s="16" t="n">
        <v>432</v>
      </c>
      <c r="J60" s="16" t="n">
        <v>129</v>
      </c>
      <c r="K60" s="16" t="n">
        <v>94</v>
      </c>
      <c r="L60" s="16" t="n">
        <v>3154</v>
      </c>
      <c r="N60" s="17">
        <f>ROW()</f>
        <v>60</v>
      </c>
    </row>
    <row r="61">
      <c r="B61" s="4" t="inlineStr">
        <is>
          <t>48</t>
        </is>
      </c>
      <c r="C61" s="16" t="n">
        <v>17732</v>
      </c>
      <c r="D61" s="16" t="n">
        <v>4433</v>
      </c>
      <c r="E61" s="16" t="n">
        <v>663</v>
      </c>
      <c r="F61" s="16" t="n">
        <v>11543</v>
      </c>
      <c r="G61" s="16" t="n">
        <v>3462</v>
      </c>
      <c r="H61" s="16" t="n">
        <v>2285</v>
      </c>
      <c r="I61" s="16" t="n">
        <v>6926</v>
      </c>
      <c r="J61" s="16" t="n">
        <v>2063</v>
      </c>
      <c r="K61" s="16" t="n">
        <v>1512</v>
      </c>
      <c r="L61" s="16" t="n">
        <v>50619</v>
      </c>
      <c r="N61" s="17">
        <f>ROW()</f>
        <v>61</v>
      </c>
    </row>
    <row r="62">
      <c r="B62" s="7" t="inlineStr">
        <is>
          <t>Total</t>
        </is>
      </c>
      <c r="C62" s="18">
        <f>SUM(C53:C61)</f>
        <v>64104</v>
      </c>
      <c r="D62" s="18">
        <f>SUM(D53:D61)</f>
        <v>16024</v>
      </c>
      <c r="E62" s="18">
        <f>SUM(E53:E61)</f>
        <v>2394</v>
      </c>
      <c r="F62" s="18">
        <f>SUM(F53:F61)</f>
        <v>41736</v>
      </c>
      <c r="G62" s="18">
        <f>SUM(G53:G61)</f>
        <v>12513</v>
      </c>
      <c r="H62" s="18">
        <f>SUM(H53:H61)</f>
        <v>8259</v>
      </c>
      <c r="I62" s="18">
        <f>SUM(I53:I61)</f>
        <v>25033</v>
      </c>
      <c r="J62" s="18">
        <f>SUM(J53:J61)</f>
        <v>7460</v>
      </c>
      <c r="K62" s="18">
        <f>SUM(K53:K61)</f>
        <v>5464</v>
      </c>
      <c r="L62" s="18">
        <f>SUM(L53:L61)</f>
        <v>182987</v>
      </c>
      <c r="O62" s="2" t="inlineStr">
        <is>
          <t>← selector empty: excluded from extraction, reused as control</t>
        </is>
      </c>
    </row>
    <row r="63">
      <c r="A63" s="13" t="inlineStr">
        <is>
          <t>Info_3 = 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4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4" max="14"/>
    <col width="46" customWidth="1" min="15" max="15"/>
  </cols>
  <sheetData>
    <row r="1">
      <c r="B1" s="1" t="inlineStr">
        <is>
          <t>07. Hurricane aggregates — Mexico</t>
        </is>
      </c>
    </row>
    <row r="2">
      <c r="B2" s="2" t="inlineStr">
        <is>
          <t>Three versions of the same zoning. The movement between them is the point — see the growth block written beneath.</t>
        </is>
      </c>
    </row>
    <row r="3">
      <c r="A3" s="11" t="inlineStr">
        <is>
          <t>Section = Hurricane</t>
        </is>
      </c>
    </row>
    <row r="4">
      <c r="A4" s="11" t="inlineStr">
        <is>
          <t>Currency = MXN</t>
        </is>
      </c>
    </row>
    <row r="5">
      <c r="A5" s="11" t="inlineStr">
        <is>
          <t>Scale = 1,000,000</t>
        </is>
      </c>
    </row>
    <row r="6">
      <c r="A6" s="11" t="inlineStr">
        <is>
          <t>Share basis = 100%</t>
        </is>
      </c>
    </row>
    <row r="7">
      <c r="A7" s="11" t="inlineStr">
        <is>
          <t>Exposure basis = Sum Insured</t>
        </is>
      </c>
    </row>
    <row r="8">
      <c r="A8" s="11" t="inlineStr">
        <is>
          <t>Zone scheme = Mexico Wind</t>
        </is>
      </c>
    </row>
    <row r="9">
      <c r="A9" s="11" t="inlineStr">
        <is>
          <t>Coinsurance = not deducted</t>
        </is>
      </c>
    </row>
    <row r="10">
      <c r="A10" s="11" t="inlineStr">
        <is>
          <t>Deductible = not deducted</t>
        </is>
      </c>
    </row>
    <row r="11">
      <c r="A11" s="11" t="inlineStr">
        <is>
          <t>Standard deductible = 1.5%</t>
        </is>
      </c>
    </row>
    <row r="12">
      <c r="A12" s="11" t="inlineStr">
        <is>
          <t>Limit basis = full sum insured</t>
        </is>
      </c>
    </row>
    <row r="13">
      <c r="A13" s="11" t="inlineStr">
        <is>
          <t>Multi-location = split by location</t>
        </is>
      </c>
    </row>
    <row r="14">
      <c r="A14" s="11" t="inlineStr">
        <is>
          <t>Includes fac = yes</t>
        </is>
      </c>
      <c r="B14" s="7" t="inlineStr">
        <is>
          <t>— 2025 9 months —</t>
        </is>
      </c>
    </row>
    <row r="15">
      <c r="A15" s="11" t="inlineStr">
        <is>
          <t>Period_1 = 2025 9 months</t>
        </is>
      </c>
    </row>
    <row r="16">
      <c r="A16" s="11" t="inlineStr">
        <is>
          <t>As at_1 = 30.09.2025</t>
        </is>
      </c>
    </row>
    <row r="17">
      <c r="B17" s="12" t="inlineStr">
        <is>
          <t>Zona</t>
        </is>
      </c>
      <c r="C17" s="12" t="inlineStr">
        <is>
          <t>Res edif.</t>
        </is>
      </c>
      <c r="D17" s="12" t="inlineStr">
        <is>
          <t>Res cont.</t>
        </is>
      </c>
      <c r="E17" s="12" t="inlineStr">
        <is>
          <t>Res PB</t>
        </is>
      </c>
      <c r="F17" s="12" t="inlineStr">
        <is>
          <t>Com edif.</t>
        </is>
      </c>
      <c r="G17" s="12" t="inlineStr">
        <is>
          <t>Com cont.</t>
        </is>
      </c>
      <c r="H17" s="12" t="inlineStr">
        <is>
          <t>Com PB</t>
        </is>
      </c>
      <c r="I17" s="12" t="inlineStr">
        <is>
          <t>Ind edif.</t>
        </is>
      </c>
      <c r="J17" s="12" t="inlineStr">
        <is>
          <t>Ind cont.</t>
        </is>
      </c>
      <c r="K17" s="12" t="inlineStr">
        <is>
          <t>Ind PB</t>
        </is>
      </c>
      <c r="L17" s="12" t="inlineStr">
        <is>
          <t>Suma</t>
        </is>
      </c>
      <c r="O17" s="2" t="inlineStr">
        <is>
          <t>← source header, never read</t>
        </is>
      </c>
    </row>
    <row r="18">
      <c r="A18" s="13" t="inlineStr">
        <is>
          <t>Header_1</t>
        </is>
      </c>
      <c r="B18" s="14" t="inlineStr">
        <is>
          <t>Zone</t>
        </is>
      </c>
      <c r="C18" s="14" t="inlineStr">
        <is>
          <t>Res Building</t>
        </is>
      </c>
      <c r="D18" s="14" t="inlineStr">
        <is>
          <t>Res Content</t>
        </is>
      </c>
      <c r="E18" s="14" t="inlineStr">
        <is>
          <t>Res BI</t>
        </is>
      </c>
      <c r="F18" s="14" t="inlineStr">
        <is>
          <t>Com Building</t>
        </is>
      </c>
      <c r="G18" s="14" t="inlineStr">
        <is>
          <t>Com Content</t>
        </is>
      </c>
      <c r="H18" s="14" t="inlineStr">
        <is>
          <t>Com BI</t>
        </is>
      </c>
      <c r="I18" s="14" t="inlineStr">
        <is>
          <t>Ind Building</t>
        </is>
      </c>
      <c r="J18" s="14" t="inlineStr">
        <is>
          <t>Ind Content</t>
        </is>
      </c>
      <c r="K18" s="14" t="inlineStr">
        <is>
          <t>Ind BI</t>
        </is>
      </c>
      <c r="L18" s="14" t="inlineStr">
        <is>
          <t>Total</t>
        </is>
      </c>
      <c r="O18" s="2" t="inlineStr">
        <is>
          <t>← extraction row: blanks mean 'not extracted'</t>
        </is>
      </c>
    </row>
    <row r="19">
      <c r="B19" s="4" t="inlineStr">
        <is>
          <t>3</t>
        </is>
      </c>
      <c r="C19" s="16" t="n">
        <v>5610</v>
      </c>
      <c r="D19" s="16" t="n">
        <v>1402</v>
      </c>
      <c r="E19" s="16" t="n">
        <v>210</v>
      </c>
      <c r="F19" s="16" t="n">
        <v>3652</v>
      </c>
      <c r="G19" s="16" t="n">
        <v>1095</v>
      </c>
      <c r="H19" s="16" t="n">
        <v>723</v>
      </c>
      <c r="I19" s="16" t="n">
        <v>2191</v>
      </c>
      <c r="J19" s="16" t="n">
        <v>653</v>
      </c>
      <c r="K19" s="16" t="n">
        <v>478</v>
      </c>
      <c r="L19" s="16" t="n">
        <v>16014</v>
      </c>
      <c r="N19" s="17">
        <f>ROW()</f>
        <v>19</v>
      </c>
    </row>
    <row r="20">
      <c r="B20" s="4" t="inlineStr">
        <is>
          <t>7</t>
        </is>
      </c>
      <c r="C20" s="16" t="n">
        <v>11240</v>
      </c>
      <c r="D20" s="16" t="n">
        <v>2810</v>
      </c>
      <c r="E20" s="16" t="n">
        <v>421</v>
      </c>
      <c r="F20" s="16" t="n">
        <v>7318</v>
      </c>
      <c r="G20" s="16" t="n">
        <v>2195</v>
      </c>
      <c r="H20" s="16" t="n">
        <v>1449</v>
      </c>
      <c r="I20" s="16" t="n">
        <v>4391</v>
      </c>
      <c r="J20" s="16" t="n">
        <v>1308</v>
      </c>
      <c r="K20" s="16" t="n">
        <v>958</v>
      </c>
      <c r="L20" s="16" t="n">
        <v>32090</v>
      </c>
      <c r="N20" s="17">
        <f>ROW()</f>
        <v>20</v>
      </c>
    </row>
    <row r="21">
      <c r="B21" s="4" t="inlineStr">
        <is>
          <t>12</t>
        </is>
      </c>
      <c r="C21" s="16" t="n">
        <v>2760</v>
      </c>
      <c r="D21" s="16" t="n">
        <v>690</v>
      </c>
      <c r="E21" s="16" t="n">
        <v>103</v>
      </c>
      <c r="F21" s="16" t="n">
        <v>1797</v>
      </c>
      <c r="G21" s="16" t="n">
        <v>539</v>
      </c>
      <c r="H21" s="16" t="n">
        <v>355</v>
      </c>
      <c r="I21" s="16" t="n">
        <v>1078</v>
      </c>
      <c r="J21" s="16" t="n">
        <v>321</v>
      </c>
      <c r="K21" s="16" t="n">
        <v>235</v>
      </c>
      <c r="L21" s="16" t="n">
        <v>7878</v>
      </c>
      <c r="N21" s="17">
        <f>ROW()</f>
        <v>21</v>
      </c>
    </row>
    <row r="22">
      <c r="B22" s="4" t="inlineStr">
        <is>
          <t>19</t>
        </is>
      </c>
      <c r="C22" s="16" t="n">
        <v>8130</v>
      </c>
      <c r="D22" s="16" t="n">
        <v>2032</v>
      </c>
      <c r="E22" s="16" t="n">
        <v>304</v>
      </c>
      <c r="F22" s="16" t="n">
        <v>5293</v>
      </c>
      <c r="G22" s="16" t="n">
        <v>1587</v>
      </c>
      <c r="H22" s="16" t="n">
        <v>1047</v>
      </c>
      <c r="I22" s="16" t="n">
        <v>3176</v>
      </c>
      <c r="J22" s="16" t="n">
        <v>946</v>
      </c>
      <c r="K22" s="16" t="n">
        <v>693</v>
      </c>
      <c r="L22" s="16" t="n">
        <v>23208</v>
      </c>
      <c r="N22" s="17">
        <f>ROW()</f>
        <v>22</v>
      </c>
    </row>
    <row r="23">
      <c r="B23" s="4" t="inlineStr">
        <is>
          <t>28</t>
        </is>
      </c>
      <c r="C23" s="16" t="n">
        <v>1420</v>
      </c>
      <c r="D23" s="16" t="n">
        <v>355</v>
      </c>
      <c r="E23" s="16" t="n">
        <v>53</v>
      </c>
      <c r="F23" s="16" t="n">
        <v>924</v>
      </c>
      <c r="G23" s="16" t="n">
        <v>277</v>
      </c>
      <c r="H23" s="16" t="n">
        <v>183</v>
      </c>
      <c r="I23" s="16" t="n">
        <v>554</v>
      </c>
      <c r="J23" s="16" t="n">
        <v>165</v>
      </c>
      <c r="K23" s="16" t="n">
        <v>121</v>
      </c>
      <c r="L23" s="16" t="n">
        <v>4052</v>
      </c>
      <c r="N23" s="17">
        <f>ROW()</f>
        <v>23</v>
      </c>
    </row>
    <row r="24">
      <c r="B24" s="4" t="inlineStr">
        <is>
          <t>42</t>
        </is>
      </c>
      <c r="C24" s="16" t="n">
        <v>9870</v>
      </c>
      <c r="D24" s="16" t="n">
        <v>2467</v>
      </c>
      <c r="E24" s="16" t="n">
        <v>370</v>
      </c>
      <c r="F24" s="16" t="n">
        <v>6426</v>
      </c>
      <c r="G24" s="16" t="n">
        <v>1927</v>
      </c>
      <c r="H24" s="16" t="n">
        <v>1272</v>
      </c>
      <c r="I24" s="16" t="n">
        <v>3856</v>
      </c>
      <c r="J24" s="16" t="n">
        <v>1148</v>
      </c>
      <c r="K24" s="16" t="n">
        <v>841</v>
      </c>
      <c r="L24" s="16" t="n">
        <v>28177</v>
      </c>
      <c r="N24" s="17">
        <f>ROW()</f>
        <v>24</v>
      </c>
    </row>
    <row r="25">
      <c r="B25" s="7" t="inlineStr">
        <is>
          <t>Total</t>
        </is>
      </c>
      <c r="C25" s="18">
        <f>SUM(C19:C24)</f>
        <v>39030</v>
      </c>
      <c r="D25" s="18">
        <f>SUM(D19:D24)</f>
        <v>9756</v>
      </c>
      <c r="E25" s="18">
        <f>SUM(E19:E24)</f>
        <v>1461</v>
      </c>
      <c r="F25" s="18">
        <f>SUM(F19:F24)</f>
        <v>25410</v>
      </c>
      <c r="G25" s="18">
        <f>SUM(G19:G24)</f>
        <v>7620</v>
      </c>
      <c r="H25" s="18">
        <f>SUM(H19:H24)</f>
        <v>5029</v>
      </c>
      <c r="I25" s="18">
        <f>SUM(I19:I24)</f>
        <v>15246</v>
      </c>
      <c r="J25" s="18">
        <f>SUM(J19:J24)</f>
        <v>4541</v>
      </c>
      <c r="K25" s="18">
        <f>SUM(K19:K24)</f>
        <v>3326</v>
      </c>
      <c r="L25" s="18">
        <f>SUM(L19:L24)</f>
        <v>111419</v>
      </c>
      <c r="O25" s="2" t="inlineStr">
        <is>
          <t>← selector empty: excluded from extraction, reused as control</t>
        </is>
      </c>
    </row>
    <row r="26">
      <c r="A26" s="13" t="inlineStr">
        <is>
          <t>Info_1 = N</t>
        </is>
      </c>
    </row>
    <row r="28">
      <c r="B28" s="7" t="inlineStr">
        <is>
          <t>— 2026 at inception —</t>
        </is>
      </c>
    </row>
    <row r="29">
      <c r="A29" s="11" t="inlineStr">
        <is>
          <t>Period_2 = 2026 at inception</t>
        </is>
      </c>
    </row>
    <row r="30">
      <c r="A30" s="11" t="inlineStr">
        <is>
          <t>As at_2 = 01.01.2026</t>
        </is>
      </c>
    </row>
    <row r="31">
      <c r="B31" s="12" t="inlineStr">
        <is>
          <t>Zona</t>
        </is>
      </c>
      <c r="C31" s="12" t="inlineStr">
        <is>
          <t>Res edif.</t>
        </is>
      </c>
      <c r="D31" s="12" t="inlineStr">
        <is>
          <t>Res cont.</t>
        </is>
      </c>
      <c r="E31" s="12" t="inlineStr">
        <is>
          <t>Res PB</t>
        </is>
      </c>
      <c r="F31" s="12" t="inlineStr">
        <is>
          <t>Com edif.</t>
        </is>
      </c>
      <c r="G31" s="12" t="inlineStr">
        <is>
          <t>Com cont.</t>
        </is>
      </c>
      <c r="H31" s="12" t="inlineStr">
        <is>
          <t>Com PB</t>
        </is>
      </c>
      <c r="I31" s="12" t="inlineStr">
        <is>
          <t>Ind edif.</t>
        </is>
      </c>
      <c r="J31" s="12" t="inlineStr">
        <is>
          <t>Ind cont.</t>
        </is>
      </c>
      <c r="K31" s="12" t="inlineStr">
        <is>
          <t>Ind PB</t>
        </is>
      </c>
      <c r="L31" s="12" t="inlineStr">
        <is>
          <t>Suma</t>
        </is>
      </c>
      <c r="O31" s="2" t="inlineStr">
        <is>
          <t>← source header, never read</t>
        </is>
      </c>
    </row>
    <row r="32">
      <c r="A32" s="13" t="inlineStr">
        <is>
          <t>Header_2</t>
        </is>
      </c>
      <c r="B32" s="14" t="inlineStr">
        <is>
          <t>Zone</t>
        </is>
      </c>
      <c r="C32" s="14" t="inlineStr">
        <is>
          <t>Res Building</t>
        </is>
      </c>
      <c r="D32" s="14" t="inlineStr">
        <is>
          <t>Res Content</t>
        </is>
      </c>
      <c r="E32" s="14" t="inlineStr">
        <is>
          <t>Res BI</t>
        </is>
      </c>
      <c r="F32" s="14" t="inlineStr">
        <is>
          <t>Com Building</t>
        </is>
      </c>
      <c r="G32" s="14" t="inlineStr">
        <is>
          <t>Com Content</t>
        </is>
      </c>
      <c r="H32" s="14" t="inlineStr">
        <is>
          <t>Com BI</t>
        </is>
      </c>
      <c r="I32" s="14" t="inlineStr">
        <is>
          <t>Ind Building</t>
        </is>
      </c>
      <c r="J32" s="14" t="inlineStr">
        <is>
          <t>Ind Content</t>
        </is>
      </c>
      <c r="K32" s="14" t="inlineStr">
        <is>
          <t>Ind BI</t>
        </is>
      </c>
      <c r="L32" s="14" t="inlineStr">
        <is>
          <t>Total</t>
        </is>
      </c>
      <c r="O32" s="2" t="inlineStr">
        <is>
          <t>← extraction row: blanks mean 'not extracted'</t>
        </is>
      </c>
    </row>
    <row r="33">
      <c r="B33" s="4" t="inlineStr">
        <is>
          <t>3</t>
        </is>
      </c>
      <c r="C33" s="16" t="n">
        <v>5958</v>
      </c>
      <c r="D33" s="16" t="n">
        <v>1489</v>
      </c>
      <c r="E33" s="16" t="n">
        <v>223</v>
      </c>
      <c r="F33" s="16" t="n">
        <v>3878</v>
      </c>
      <c r="G33" s="16" t="n">
        <v>1163</v>
      </c>
      <c r="H33" s="16" t="n">
        <v>768</v>
      </c>
      <c r="I33" s="16" t="n">
        <v>2327</v>
      </c>
      <c r="J33" s="16" t="n">
        <v>693</v>
      </c>
      <c r="K33" s="16" t="n">
        <v>508</v>
      </c>
      <c r="L33" s="16" t="n">
        <v>17007</v>
      </c>
      <c r="N33" s="17">
        <f>ROW()</f>
        <v>33</v>
      </c>
    </row>
    <row r="34">
      <c r="B34" s="4" t="inlineStr">
        <is>
          <t>7</t>
        </is>
      </c>
      <c r="C34" s="16" t="n">
        <v>11937</v>
      </c>
      <c r="D34" s="16" t="n">
        <v>2984</v>
      </c>
      <c r="E34" s="16" t="n">
        <v>447</v>
      </c>
      <c r="F34" s="16" t="n">
        <v>7772</v>
      </c>
      <c r="G34" s="16" t="n">
        <v>2331</v>
      </c>
      <c r="H34" s="16" t="n">
        <v>1539</v>
      </c>
      <c r="I34" s="16" t="n">
        <v>4663</v>
      </c>
      <c r="J34" s="16" t="n">
        <v>1389</v>
      </c>
      <c r="K34" s="16" t="n">
        <v>1017</v>
      </c>
      <c r="L34" s="16" t="n">
        <v>34079</v>
      </c>
      <c r="N34" s="17">
        <f>ROW()</f>
        <v>34</v>
      </c>
    </row>
    <row r="35">
      <c r="B35" s="4" t="inlineStr">
        <is>
          <t>12</t>
        </is>
      </c>
      <c r="C35" s="16" t="n">
        <v>2931</v>
      </c>
      <c r="D35" s="16" t="n">
        <v>733</v>
      </c>
      <c r="E35" s="16" t="n">
        <v>109</v>
      </c>
      <c r="F35" s="16" t="n">
        <v>1908</v>
      </c>
      <c r="G35" s="16" t="n">
        <v>572</v>
      </c>
      <c r="H35" s="16" t="n">
        <v>377</v>
      </c>
      <c r="I35" s="16" t="n">
        <v>1145</v>
      </c>
      <c r="J35" s="16" t="n">
        <v>341</v>
      </c>
      <c r="K35" s="16" t="n">
        <v>250</v>
      </c>
      <c r="L35" s="16" t="n">
        <v>8366</v>
      </c>
      <c r="N35" s="17">
        <f>ROW()</f>
        <v>35</v>
      </c>
    </row>
    <row r="36">
      <c r="B36" s="4" t="inlineStr">
        <is>
          <t>19</t>
        </is>
      </c>
      <c r="C36" s="16" t="n">
        <v>8634</v>
      </c>
      <c r="D36" s="16" t="n">
        <v>2158</v>
      </c>
      <c r="E36" s="16" t="n">
        <v>323</v>
      </c>
      <c r="F36" s="16" t="n">
        <v>5621</v>
      </c>
      <c r="G36" s="16" t="n">
        <v>1685</v>
      </c>
      <c r="H36" s="16" t="n">
        <v>1112</v>
      </c>
      <c r="I36" s="16" t="n">
        <v>3373</v>
      </c>
      <c r="J36" s="16" t="n">
        <v>1005</v>
      </c>
      <c r="K36" s="16" t="n">
        <v>736</v>
      </c>
      <c r="L36" s="16" t="n">
        <v>24647</v>
      </c>
      <c r="N36" s="17">
        <f>ROW()</f>
        <v>36</v>
      </c>
    </row>
    <row r="37">
      <c r="B37" s="4" t="inlineStr">
        <is>
          <t>28</t>
        </is>
      </c>
      <c r="C37" s="16" t="n">
        <v>1508</v>
      </c>
      <c r="D37" s="16" t="n">
        <v>377</v>
      </c>
      <c r="E37" s="16" t="n">
        <v>56</v>
      </c>
      <c r="F37" s="16" t="n">
        <v>981</v>
      </c>
      <c r="G37" s="16" t="n">
        <v>294</v>
      </c>
      <c r="H37" s="16" t="n">
        <v>194</v>
      </c>
      <c r="I37" s="16" t="n">
        <v>588</v>
      </c>
      <c r="J37" s="16" t="n">
        <v>175</v>
      </c>
      <c r="K37" s="16" t="n">
        <v>129</v>
      </c>
      <c r="L37" s="16" t="n">
        <v>4302</v>
      </c>
      <c r="N37" s="17">
        <f>ROW()</f>
        <v>37</v>
      </c>
    </row>
    <row r="38">
      <c r="B38" s="4" t="inlineStr">
        <is>
          <t>42</t>
        </is>
      </c>
      <c r="C38" s="16" t="n">
        <v>10482</v>
      </c>
      <c r="D38" s="16" t="n">
        <v>2620</v>
      </c>
      <c r="E38" s="16" t="n">
        <v>393</v>
      </c>
      <c r="F38" s="16" t="n">
        <v>6824</v>
      </c>
      <c r="G38" s="16" t="n">
        <v>2046</v>
      </c>
      <c r="H38" s="16" t="n">
        <v>1351</v>
      </c>
      <c r="I38" s="16" t="n">
        <v>4095</v>
      </c>
      <c r="J38" s="16" t="n">
        <v>1219</v>
      </c>
      <c r="K38" s="16" t="n">
        <v>893</v>
      </c>
      <c r="L38" s="16" t="n">
        <v>29923</v>
      </c>
      <c r="N38" s="17">
        <f>ROW()</f>
        <v>38</v>
      </c>
    </row>
    <row r="39">
      <c r="B39" s="7" t="inlineStr">
        <is>
          <t>Total</t>
        </is>
      </c>
      <c r="C39" s="18">
        <f>SUM(C33:C38)</f>
        <v>41450</v>
      </c>
      <c r="D39" s="18">
        <f>SUM(D33:D38)</f>
        <v>10361</v>
      </c>
      <c r="E39" s="18">
        <f>SUM(E33:E38)</f>
        <v>1551</v>
      </c>
      <c r="F39" s="18">
        <f>SUM(F33:F38)</f>
        <v>26984</v>
      </c>
      <c r="G39" s="18">
        <f>SUM(G33:G38)</f>
        <v>8091</v>
      </c>
      <c r="H39" s="18">
        <f>SUM(H33:H38)</f>
        <v>5341</v>
      </c>
      <c r="I39" s="18">
        <f>SUM(I33:I38)</f>
        <v>16191</v>
      </c>
      <c r="J39" s="18">
        <f>SUM(J33:J38)</f>
        <v>4822</v>
      </c>
      <c r="K39" s="18">
        <f>SUM(K33:K38)</f>
        <v>3533</v>
      </c>
      <c r="L39" s="18">
        <f>SUM(L33:L38)</f>
        <v>118324</v>
      </c>
      <c r="O39" s="2" t="inlineStr">
        <is>
          <t>← selector empty: excluded from extraction, reused as control</t>
        </is>
      </c>
    </row>
    <row r="40">
      <c r="A40" s="13" t="inlineStr">
        <is>
          <t>Info_2 = N</t>
        </is>
      </c>
    </row>
    <row r="42">
      <c r="B42" s="7" t="inlineStr">
        <is>
          <t>— 2026 at expiry —</t>
        </is>
      </c>
    </row>
    <row r="43">
      <c r="A43" s="11" t="inlineStr">
        <is>
          <t>Period_3 = 2026 at expiry</t>
        </is>
      </c>
    </row>
    <row r="44">
      <c r="A44" s="11" t="inlineStr">
        <is>
          <t>As at_3 = 31.12.2026</t>
        </is>
      </c>
    </row>
    <row r="45">
      <c r="B45" s="12" t="inlineStr">
        <is>
          <t>Zona</t>
        </is>
      </c>
      <c r="C45" s="12" t="inlineStr">
        <is>
          <t>Res edif.</t>
        </is>
      </c>
      <c r="D45" s="12" t="inlineStr">
        <is>
          <t>Res cont.</t>
        </is>
      </c>
      <c r="E45" s="12" t="inlineStr">
        <is>
          <t>Res PB</t>
        </is>
      </c>
      <c r="F45" s="12" t="inlineStr">
        <is>
          <t>Com edif.</t>
        </is>
      </c>
      <c r="G45" s="12" t="inlineStr">
        <is>
          <t>Com cont.</t>
        </is>
      </c>
      <c r="H45" s="12" t="inlineStr">
        <is>
          <t>Com PB</t>
        </is>
      </c>
      <c r="I45" s="12" t="inlineStr">
        <is>
          <t>Ind edif.</t>
        </is>
      </c>
      <c r="J45" s="12" t="inlineStr">
        <is>
          <t>Ind cont.</t>
        </is>
      </c>
      <c r="K45" s="12" t="inlineStr">
        <is>
          <t>Ind PB</t>
        </is>
      </c>
      <c r="L45" s="12" t="inlineStr">
        <is>
          <t>Suma</t>
        </is>
      </c>
      <c r="O45" s="2" t="inlineStr">
        <is>
          <t>← source header, never read</t>
        </is>
      </c>
    </row>
    <row r="46">
      <c r="A46" s="13" t="inlineStr">
        <is>
          <t>Header_3</t>
        </is>
      </c>
      <c r="B46" s="14" t="inlineStr">
        <is>
          <t>Zone</t>
        </is>
      </c>
      <c r="C46" s="14" t="inlineStr">
        <is>
          <t>Res Building</t>
        </is>
      </c>
      <c r="D46" s="14" t="inlineStr">
        <is>
          <t>Res Content</t>
        </is>
      </c>
      <c r="E46" s="14" t="inlineStr">
        <is>
          <t>Res BI</t>
        </is>
      </c>
      <c r="F46" s="14" t="inlineStr">
        <is>
          <t>Com Building</t>
        </is>
      </c>
      <c r="G46" s="14" t="inlineStr">
        <is>
          <t>Com Content</t>
        </is>
      </c>
      <c r="H46" s="14" t="inlineStr">
        <is>
          <t>Com BI</t>
        </is>
      </c>
      <c r="I46" s="14" t="inlineStr">
        <is>
          <t>Ind Building</t>
        </is>
      </c>
      <c r="J46" s="14" t="inlineStr">
        <is>
          <t>Ind Content</t>
        </is>
      </c>
      <c r="K46" s="14" t="inlineStr">
        <is>
          <t>Ind BI</t>
        </is>
      </c>
      <c r="L46" s="14" t="inlineStr">
        <is>
          <t>Total</t>
        </is>
      </c>
      <c r="O46" s="2" t="inlineStr">
        <is>
          <t>← extraction row: blanks mean 'not extracted'</t>
        </is>
      </c>
    </row>
    <row r="47">
      <c r="B47" s="4" t="inlineStr">
        <is>
          <t>3</t>
        </is>
      </c>
      <c r="C47" s="16" t="n">
        <v>6328</v>
      </c>
      <c r="D47" s="16" t="n">
        <v>1581</v>
      </c>
      <c r="E47" s="16" t="n">
        <v>237</v>
      </c>
      <c r="F47" s="16" t="n">
        <v>4119</v>
      </c>
      <c r="G47" s="16" t="n">
        <v>1235</v>
      </c>
      <c r="H47" s="16" t="n">
        <v>816</v>
      </c>
      <c r="I47" s="16" t="n">
        <v>2471</v>
      </c>
      <c r="J47" s="16" t="n">
        <v>737</v>
      </c>
      <c r="K47" s="16" t="n">
        <v>539</v>
      </c>
      <c r="L47" s="16" t="n">
        <v>18063</v>
      </c>
      <c r="N47" s="17">
        <f>ROW()</f>
        <v>47</v>
      </c>
    </row>
    <row r="48">
      <c r="B48" s="4" t="inlineStr">
        <is>
          <t>7</t>
        </is>
      </c>
      <c r="C48" s="16" t="n">
        <v>12679</v>
      </c>
      <c r="D48" s="16" t="n">
        <v>3170</v>
      </c>
      <c r="E48" s="16" t="n">
        <v>475</v>
      </c>
      <c r="F48" s="16" t="n">
        <v>8255</v>
      </c>
      <c r="G48" s="16" t="n">
        <v>2476</v>
      </c>
      <c r="H48" s="16" t="n">
        <v>1634</v>
      </c>
      <c r="I48" s="16" t="n">
        <v>4953</v>
      </c>
      <c r="J48" s="16" t="n">
        <v>1475</v>
      </c>
      <c r="K48" s="16" t="n">
        <v>1081</v>
      </c>
      <c r="L48" s="16" t="n">
        <v>36198</v>
      </c>
      <c r="N48" s="17">
        <f>ROW()</f>
        <v>48</v>
      </c>
    </row>
    <row r="49">
      <c r="B49" s="4" t="inlineStr">
        <is>
          <t>12</t>
        </is>
      </c>
      <c r="C49" s="16" t="n">
        <v>3113</v>
      </c>
      <c r="D49" s="16" t="n">
        <v>778</v>
      </c>
      <c r="E49" s="16" t="n">
        <v>116</v>
      </c>
      <c r="F49" s="16" t="n">
        <v>2027</v>
      </c>
      <c r="G49" s="16" t="n">
        <v>608</v>
      </c>
      <c r="H49" s="16" t="n">
        <v>400</v>
      </c>
      <c r="I49" s="16" t="n">
        <v>1216</v>
      </c>
      <c r="J49" s="16" t="n">
        <v>362</v>
      </c>
      <c r="K49" s="16" t="n">
        <v>265</v>
      </c>
      <c r="L49" s="16" t="n">
        <v>8885</v>
      </c>
      <c r="N49" s="17">
        <f>ROW()</f>
        <v>49</v>
      </c>
    </row>
    <row r="50">
      <c r="B50" s="4" t="inlineStr">
        <is>
          <t>19</t>
        </is>
      </c>
      <c r="C50" s="16" t="n">
        <v>9171</v>
      </c>
      <c r="D50" s="16" t="n">
        <v>2292</v>
      </c>
      <c r="E50" s="16" t="n">
        <v>343</v>
      </c>
      <c r="F50" s="16" t="n">
        <v>5971</v>
      </c>
      <c r="G50" s="16" t="n">
        <v>1790</v>
      </c>
      <c r="H50" s="16" t="n">
        <v>1181</v>
      </c>
      <c r="I50" s="16" t="n">
        <v>3583</v>
      </c>
      <c r="J50" s="16" t="n">
        <v>1067</v>
      </c>
      <c r="K50" s="16" t="n">
        <v>782</v>
      </c>
      <c r="L50" s="16" t="n">
        <v>26180</v>
      </c>
      <c r="N50" s="17">
        <f>ROW()</f>
        <v>50</v>
      </c>
    </row>
    <row r="51">
      <c r="B51" s="4" t="inlineStr">
        <is>
          <t>28</t>
        </is>
      </c>
      <c r="C51" s="16" t="n">
        <v>1602</v>
      </c>
      <c r="D51" s="16" t="n">
        <v>400</v>
      </c>
      <c r="E51" s="16" t="n">
        <v>60</v>
      </c>
      <c r="F51" s="16" t="n">
        <v>1042</v>
      </c>
      <c r="G51" s="16" t="n">
        <v>312</v>
      </c>
      <c r="H51" s="16" t="n">
        <v>206</v>
      </c>
      <c r="I51" s="16" t="n">
        <v>625</v>
      </c>
      <c r="J51" s="16" t="n">
        <v>186</v>
      </c>
      <c r="K51" s="16" t="n">
        <v>136</v>
      </c>
      <c r="L51" s="16" t="n">
        <v>4569</v>
      </c>
      <c r="N51" s="17">
        <f>ROW()</f>
        <v>51</v>
      </c>
    </row>
    <row r="52">
      <c r="B52" s="4" t="inlineStr">
        <is>
          <t>42</t>
        </is>
      </c>
      <c r="C52" s="16" t="n">
        <v>11133</v>
      </c>
      <c r="D52" s="16" t="n">
        <v>2783</v>
      </c>
      <c r="E52" s="16" t="n">
        <v>417</v>
      </c>
      <c r="F52" s="16" t="n">
        <v>7249</v>
      </c>
      <c r="G52" s="16" t="n">
        <v>2174</v>
      </c>
      <c r="H52" s="16" t="n">
        <v>1435</v>
      </c>
      <c r="I52" s="16" t="n">
        <v>4350</v>
      </c>
      <c r="J52" s="16" t="n">
        <v>1295</v>
      </c>
      <c r="K52" s="16" t="n">
        <v>949</v>
      </c>
      <c r="L52" s="16" t="n">
        <v>31785</v>
      </c>
      <c r="N52" s="17">
        <f>ROW()</f>
        <v>52</v>
      </c>
    </row>
    <row r="53">
      <c r="B53" s="7" t="inlineStr">
        <is>
          <t>Total</t>
        </is>
      </c>
      <c r="C53" s="18">
        <f>SUM(C47:C52)</f>
        <v>44026</v>
      </c>
      <c r="D53" s="18">
        <f>SUM(D47:D52)</f>
        <v>11004</v>
      </c>
      <c r="E53" s="18">
        <f>SUM(E47:E52)</f>
        <v>1648</v>
      </c>
      <c r="F53" s="18">
        <f>SUM(F47:F52)</f>
        <v>28663</v>
      </c>
      <c r="G53" s="18">
        <f>SUM(G47:G52)</f>
        <v>8595</v>
      </c>
      <c r="H53" s="18">
        <f>SUM(H47:H52)</f>
        <v>5672</v>
      </c>
      <c r="I53" s="18">
        <f>SUM(I47:I52)</f>
        <v>17198</v>
      </c>
      <c r="J53" s="18">
        <f>SUM(J47:J52)</f>
        <v>5122</v>
      </c>
      <c r="K53" s="18">
        <f>SUM(K47:K52)</f>
        <v>3752</v>
      </c>
      <c r="L53" s="18">
        <f>SUM(L47:L52)</f>
        <v>125680</v>
      </c>
      <c r="O53" s="2" t="inlineStr">
        <is>
          <t>← selector empty: excluded from extraction, reused as control</t>
        </is>
      </c>
    </row>
    <row r="54">
      <c r="A54" s="13" t="inlineStr">
        <is>
          <t>Info_3 = 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2026-08-18T21:49:00Z</dcterms:created>
  <dcterms:modified xsi:type="dcterms:W3CDTF">2026-08-18T21:49:00Z</dcterms:modified>
</cp:coreProperties>
</file>