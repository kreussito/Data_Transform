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  <sheet name="05. Risk 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The cedent's book split — sums insured, one block per section</t>
        </is>
      </c>
      <c r="E21" s="4" t="inlineStr">
        <is>
          <t>implemented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Rate change history — optional</t>
        </is>
      </c>
      <c r="E22" s="8" t="inlineStr">
        <is>
          <t>outstanding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8">
      <c r="B88" s="11" t="n">
        <v>4</v>
      </c>
      <c r="C88" s="5" t="inlineStr">
        <is>
          <t>at inception</t>
        </is>
      </c>
    </row>
    <row r="89">
      <c r="B89" s="11" t="n">
        <v>5</v>
      </c>
      <c r="C89" s="5" t="inlineStr">
        <is>
          <t>at expiry</t>
        </is>
      </c>
    </row>
    <row r="91">
      <c r="B91" s="2" t="inlineStr">
        <is>
          <t>Within one year the suffixes sort in this order, not alphabetically.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01.Premium@{N} 9 months</t>
        </is>
      </c>
      <c r="D95" s="7" t="inlineStr">
        <is>
          <t>=</t>
        </is>
      </c>
      <c r="E95" s="12" t="inlineStr">
        <is>
          <t>02.EPI@{N}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01.Premium@{N}</t>
        </is>
      </c>
      <c r="D96" s="7" t="inlineStr">
        <is>
          <t>=</t>
        </is>
      </c>
      <c r="E96" s="12" t="inlineStr">
        <is>
          <t>02.EPI@{N}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02.EPI@{N} re-est</t>
        </is>
      </c>
      <c r="D97" s="7" t="inlineStr">
        <is>
          <t>&gt;=</t>
        </is>
      </c>
      <c r="E97" s="12" t="inlineStr">
        <is>
          <t>02.EPI@{N}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SUM(03.Loss amount@{Y})</t>
        </is>
      </c>
      <c r="D98" s="7" t="inlineStr">
        <is>
          <t>&lt;=</t>
        </is>
      </c>
      <c r="E98" s="12" t="inlineStr">
        <is>
          <t>01.Incurred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R-02</t>
        </is>
      </c>
      <c r="C99" s="12" t="inlineStr">
        <is>
          <t>SUM(04.Loss amount@{Y})</t>
        </is>
      </c>
      <c r="D99" s="7" t="inlineStr">
        <is>
          <t>&lt;=</t>
        </is>
      </c>
      <c r="E99" s="12" t="inlineStr">
        <is>
          <t>01.Incurred Losses@{Y}</t>
        </is>
      </c>
      <c r="F99" s="4" t="n">
        <v>1</v>
      </c>
      <c r="G99" s="4" t="inlineStr">
        <is>
          <t>error</t>
        </is>
      </c>
      <c r="H99" s="5" t="inlineStr">
        <is>
          <t>cat</t>
        </is>
      </c>
      <c r="I99" s="2" t="inlineStr">
        <is>
          <t>cat losses cannot exceed total incurred for the same year</t>
        </is>
      </c>
    </row>
    <row r="100">
      <c r="B100" s="7" t="inlineStr">
        <is>
          <t>R-09</t>
        </is>
      </c>
      <c r="C100" s="12" t="inlineStr">
        <is>
          <t>01.Year basis</t>
        </is>
      </c>
      <c r="D100" s="7" t="inlineStr">
        <is>
          <t>=</t>
        </is>
      </c>
      <c r="E100" s="12" t="inlineStr">
        <is>
          <t>03.Year basis</t>
        </is>
      </c>
      <c r="F100" s="4" t="n">
        <v>0</v>
      </c>
      <c r="G100" s="4" t="inlineStr">
        <is>
          <t>error</t>
        </is>
      </c>
      <c r="H100" s="5" t="inlineStr">
        <is>
          <t>per risk</t>
        </is>
      </c>
      <c r="I100" s="2" t="inlineStr">
        <is>
          <t>history and large losses must be on the same year basis</t>
        </is>
      </c>
    </row>
    <row r="101">
      <c r="B101" s="7" t="inlineStr">
        <is>
          <t>R-10</t>
        </is>
      </c>
      <c r="C101" s="12" t="inlineStr">
        <is>
          <t>01.Year basis</t>
        </is>
      </c>
      <c r="D101" s="7" t="inlineStr">
        <is>
          <t>=</t>
        </is>
      </c>
      <c r="E101" s="12" t="inlineStr">
        <is>
          <t>04.Year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Turbine erection collapse, Gdansk</t>
        </is>
      </c>
      <c r="E12" s="19" t="n">
        <v>1420</v>
      </c>
      <c r="F12" s="23" t="n">
        <v>44294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Tunnel boring machine damage, Oslo</t>
        </is>
      </c>
      <c r="E13" s="19" t="n">
        <v>2310</v>
      </c>
      <c r="F13" s="23" t="n">
        <v>45007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2023</t>
        </is>
      </c>
      <c r="D14" s="4" t="inlineStr">
        <is>
          <t>Crane failure, Rotterdam yard</t>
        </is>
      </c>
      <c r="E14" s="19" t="n">
        <v>860</v>
      </c>
      <c r="F14" s="23" t="n">
        <v>45203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2024</t>
        </is>
      </c>
      <c r="D15" s="4" t="inlineStr">
        <is>
          <t>Generator fire, Valencia plant</t>
        </is>
      </c>
      <c r="E15" s="19" t="n">
        <v>1975</v>
      </c>
      <c r="F15" s="23" t="n">
        <v>45503</v>
      </c>
      <c r="J15" s="20">
        <f>ROW()</f>
        <v>15</v>
      </c>
    </row>
    <row r="16">
      <c r="B16" s="4" t="inlineStr">
        <is>
          <t>CL-2104</t>
        </is>
      </c>
      <c r="C16" s="18" t="inlineStr">
        <is>
          <t>2025</t>
        </is>
      </c>
      <c r="D16" s="4" t="inlineStr">
        <is>
          <t>Cable laying barge grounding, Kiel</t>
        </is>
      </c>
      <c r="E16" s="19" t="n">
        <v>1180</v>
      </c>
      <c r="F16" s="23" t="n">
        <v>45789</v>
      </c>
      <c r="J16" s="20">
        <f>ROW()</f>
        <v>16</v>
      </c>
    </row>
    <row r="17">
      <c r="C17" s="7" t="inlineStr">
        <is>
          <t>Total</t>
        </is>
      </c>
      <c r="E17" s="21">
        <f>SUM(E12:E16)</f>
        <v>7745</v>
      </c>
      <c r="G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8" t="inlineStr">
        <is>
          <t>2021</t>
        </is>
      </c>
      <c r="D12" s="4" t="inlineStr">
        <is>
          <t>Flood, Saxony</t>
        </is>
      </c>
      <c r="E12" s="19" t="n">
        <v>1150</v>
      </c>
      <c r="F12" s="23" t="n">
        <v>44391</v>
      </c>
      <c r="G12" s="23" t="n">
        <v>44395</v>
      </c>
      <c r="H12" s="19" t="n">
        <v>24</v>
      </c>
      <c r="J12" s="20">
        <f>ROW()</f>
        <v>12</v>
      </c>
    </row>
    <row r="13">
      <c r="B13" s="4" t="inlineStr">
        <is>
          <t>EV-302</t>
        </is>
      </c>
      <c r="C13" s="18" t="inlineStr">
        <is>
          <t>2023</t>
        </is>
      </c>
      <c r="D13" s="4" t="inlineStr">
        <is>
          <t>Hailstorm, Po Valley</t>
        </is>
      </c>
      <c r="E13" s="19" t="n">
        <v>900</v>
      </c>
      <c r="F13" s="23" t="n">
        <v>45465</v>
      </c>
      <c r="G13" s="23" t="n">
        <v>45465</v>
      </c>
      <c r="H13" s="19" t="n">
        <v>18</v>
      </c>
      <c r="J13" s="20">
        <f>ROW()</f>
        <v>13</v>
      </c>
    </row>
    <row r="14">
      <c r="B14" s="4" t="inlineStr">
        <is>
          <t>EV-302</t>
        </is>
      </c>
      <c r="C14" s="18" t="inlineStr">
        <is>
          <t>2024</t>
        </is>
      </c>
      <c r="D14" s="4" t="inlineStr">
        <is>
          <t>Hailstorm, Po Valley</t>
        </is>
      </c>
      <c r="E14" s="19" t="n">
        <v>2600</v>
      </c>
      <c r="F14" s="23" t="n">
        <v>45465</v>
      </c>
      <c r="G14" s="23" t="n">
        <v>45465</v>
      </c>
      <c r="H14" s="19" t="n">
        <v>41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4650</v>
      </c>
      <c r="H15" s="21">
        <f>SUM(H12:H14)</f>
        <v>83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2026-08-20T14:01:46Z</dcterms:created>
  <dcterms:modified xsi:type="dcterms:W3CDTF">2026-08-20T14:01:47Z</dcterms:modified>
</cp:coreProperties>
</file>