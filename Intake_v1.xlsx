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" sheetId="2" state="visible" r:id="rId2"/>
    <sheet name="01. History_Transposed" sheetId="3" state="visible" r:id="rId3"/>
    <sheet name="02. EPI Projections" sheetId="4" state="visible" r:id="rId4"/>
    <sheet name="02. EPI Projections_Transposed" sheetId="5" state="visible" r:id="rId5"/>
    <sheet name="03. Large Lo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999999"/>
      <sz val="10"/>
    </font>
    <font>
      <name val="Consolas"/>
      <sz val="9"/>
    </font>
    <font>
      <name val="Arial"/>
      <b val="1"/>
      <color rgb="007F6000"/>
      <sz val="10"/>
    </font>
    <font>
      <name val="Arial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3" fillId="0" borderId="0" pivotButton="0" quotePrefix="0" xfId="0"/>
    <xf numFmtId="1" fontId="4" fillId="4" borderId="0" pivotButton="0" quotePrefix="0" xfId="0"/>
    <xf numFmtId="1" fontId="4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4" borderId="1" pivotButton="0" quotePrefix="0" xfId="0"/>
    <xf numFmtId="0" fontId="7" fillId="4" borderId="1" pivotButton="0" quotePrefix="0" xfId="0"/>
    <xf numFmtId="0" fontId="3" fillId="3" borderId="1" pivotButton="0" quotePrefix="0" xfId="0"/>
    <xf numFmtId="3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0" fontId="4" fillId="5" borderId="1" pivotButton="0" quotePrefix="0" xfId="0"/>
    <xf numFmtId="49" fontId="4" fillId="0" borderId="0" pivotButton="0" quotePrefix="0" xfId="0"/>
    <xf numFmtId="3" fontId="3" fillId="0" borderId="0" pivotButton="0" quotePrefix="0" xfId="0"/>
    <xf numFmtId="9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93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B1" s="1" t="inlineStr">
        <is>
          <t>00. Nomenclature &amp; Interdependencies</t>
        </is>
      </c>
    </row>
    <row r="2">
      <c r="B2" s="2" t="inlineStr">
        <is>
          <t>The frame: what each sheet holds, what the names mean, what must tie. Column A is intentionally empty — no markers in this sheet.</t>
        </is>
      </c>
    </row>
    <row r="3">
      <c r="B3" s="2" t="inlineStr">
        <is>
          <t>Greyed rows are provisional sketches, not yet specified. 04 is specified, though this Fire-only pack carries no cat sheet.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N4" s="3" t="inlineStr">
        <is>
          <t>Attributes  →</t>
        </is>
      </c>
    </row>
    <row r="5">
      <c r="B5" s="4" t="inlineStr">
        <is>
          <t>01. History</t>
        </is>
      </c>
      <c r="C5" s="4" t="inlineStr">
        <is>
          <t>01 History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N5" s="6" t="inlineStr">
        <is>
          <t>Section</t>
        </is>
      </c>
      <c r="O5" s="6" t="inlineStr">
        <is>
          <t>Currency</t>
        </is>
      </c>
      <c r="P5" s="6" t="inlineStr">
        <is>
          <t>Scale</t>
        </is>
      </c>
      <c r="Q5" s="6" t="inlineStr">
        <is>
          <t>Share basis</t>
        </is>
      </c>
      <c r="R5" s="6" t="inlineStr">
        <is>
          <t>Year basis</t>
        </is>
      </c>
      <c r="S5" s="6" t="inlineStr">
        <is>
          <t>Premium basis</t>
        </is>
      </c>
      <c r="T5" s="6" t="inlineStr">
        <is>
          <t>Loss basis</t>
        </is>
      </c>
      <c r="U5" s="6" t="inlineStr">
        <is>
          <t>PF transfer</t>
        </is>
      </c>
      <c r="V5" s="6" t="inlineStr">
        <is>
          <t>As at</t>
        </is>
      </c>
    </row>
    <row r="6">
      <c r="B6" s="4" t="inlineStr">
        <is>
          <t>02. EPI Projections</t>
        </is>
      </c>
      <c r="C6" s="4" t="inlineStr">
        <is>
          <t>02 EPI</t>
        </is>
      </c>
      <c r="D6" s="5" t="inlineStr">
        <is>
          <t>Year</t>
        </is>
      </c>
      <c r="E6" s="5" t="inlineStr">
        <is>
          <t>EPI</t>
        </is>
      </c>
      <c r="N6" s="6" t="inlineStr">
        <is>
          <t>Section</t>
        </is>
      </c>
      <c r="O6" s="6" t="inlineStr">
        <is>
          <t>Currency</t>
        </is>
      </c>
      <c r="P6" s="6" t="inlineStr">
        <is>
          <t>Scale</t>
        </is>
      </c>
      <c r="Q6" s="6" t="inlineStr">
        <is>
          <t>Share basis</t>
        </is>
      </c>
      <c r="R6" s="6" t="inlineStr">
        <is>
          <t>Year basis</t>
        </is>
      </c>
      <c r="S6" s="6" t="inlineStr">
        <is>
          <t>Premium basis</t>
        </is>
      </c>
      <c r="T6" s="6" t="inlineStr">
        <is>
          <t>As at</t>
        </is>
      </c>
    </row>
    <row r="7">
      <c r="B7" s="4" t="inlineStr">
        <is>
          <t>03. Large Losses</t>
        </is>
      </c>
      <c r="C7" s="4" t="inlineStr">
        <is>
          <t>03 Large</t>
        </is>
      </c>
      <c r="D7" s="5" t="inlineStr">
        <is>
          <t>Year</t>
        </is>
      </c>
      <c r="E7" s="5" t="inlineStr">
        <is>
          <t>Name of Loss</t>
        </is>
      </c>
      <c r="F7" s="5" t="inlineStr">
        <is>
          <t>Loss amount</t>
        </is>
      </c>
      <c r="G7" s="5" t="inlineStr">
        <is>
          <t>Date of Loss</t>
        </is>
      </c>
      <c r="N7" s="6" t="inlineStr">
        <is>
          <t>Section</t>
        </is>
      </c>
      <c r="O7" s="6" t="inlineStr">
        <is>
          <t>Currency</t>
        </is>
      </c>
      <c r="P7" s="6" t="inlineStr">
        <is>
          <t>Scale</t>
        </is>
      </c>
      <c r="Q7" s="6" t="inlineStr">
        <is>
          <t>Share basis</t>
        </is>
      </c>
      <c r="R7" s="6" t="inlineStr">
        <is>
          <t>Year basis</t>
        </is>
      </c>
      <c r="S7" s="6" t="inlineStr">
        <is>
          <t>Loss basis</t>
        </is>
      </c>
      <c r="T7" s="6" t="inlineStr">
        <is>
          <t>Threshold</t>
        </is>
      </c>
      <c r="U7" s="6" t="inlineStr">
        <is>
          <t>Date format</t>
        </is>
      </c>
      <c r="V7" s="6" t="inlineStr">
        <is>
          <t>As at</t>
        </is>
      </c>
    </row>
    <row r="8">
      <c r="B8" s="4" t="inlineStr">
        <is>
          <t>04. Cat Losses</t>
        </is>
      </c>
      <c r="C8" s="4" t="inlineStr">
        <is>
          <t>04 Cat</t>
        </is>
      </c>
      <c r="D8" s="5" t="inlineStr">
        <is>
          <t>Year</t>
        </is>
      </c>
      <c r="E8" s="5" t="inlineStr">
        <is>
          <t>Event ID</t>
        </is>
      </c>
      <c r="F8" s="5" t="inlineStr">
        <is>
          <t>Event Name</t>
        </is>
      </c>
      <c r="G8" s="5" t="inlineStr">
        <is>
          <t>Loss amount</t>
        </is>
      </c>
      <c r="H8" s="5" t="inlineStr">
        <is>
          <t>Event Date</t>
        </is>
      </c>
      <c r="I8" s="5" t="inlineStr">
        <is>
          <t>Event End Date</t>
        </is>
      </c>
      <c r="J8" s="5" t="inlineStr">
        <is>
          <t>Number of Claims (optional)</t>
        </is>
      </c>
      <c r="N8" s="6" t="inlineStr">
        <is>
          <t>Section</t>
        </is>
      </c>
      <c r="O8" s="6" t="inlineStr">
        <is>
          <t>Currency</t>
        </is>
      </c>
      <c r="P8" s="6" t="inlineStr">
        <is>
          <t>Scale</t>
        </is>
      </c>
      <c r="Q8" s="6" t="inlineStr">
        <is>
          <t>Share basis</t>
        </is>
      </c>
      <c r="R8" s="6" t="inlineStr">
        <is>
          <t>Year basis</t>
        </is>
      </c>
      <c r="S8" s="6" t="inlineStr">
        <is>
          <t>Loss basis</t>
        </is>
      </c>
      <c r="T8" s="6" t="inlineStr">
        <is>
          <t>Date format</t>
        </is>
      </c>
      <c r="U8" s="6" t="inlineStr">
        <is>
          <t>Occurrence year from</t>
        </is>
      </c>
      <c r="V8" s="6" t="inlineStr">
        <is>
          <t>As at</t>
        </is>
      </c>
    </row>
    <row r="9">
      <c r="B9" s="7" t="inlineStr">
        <is>
          <t>05. Risk Profiles</t>
        </is>
      </c>
      <c r="C9" s="7" t="inlineStr">
        <is>
          <t>05 Profile</t>
        </is>
      </c>
      <c r="D9" s="7" t="inlineStr">
        <is>
          <t>Band</t>
        </is>
      </c>
      <c r="E9" s="7" t="inlineStr">
        <is>
          <t>Number of Risks</t>
        </is>
      </c>
      <c r="F9" s="7" t="inlineStr">
        <is>
          <t>Sum Insured</t>
        </is>
      </c>
      <c r="G9" s="7" t="inlineStr">
        <is>
          <t>Premium</t>
        </is>
      </c>
      <c r="N9" s="7" t="inlineStr">
        <is>
          <t>Currency</t>
        </is>
      </c>
      <c r="O9" s="7" t="inlineStr">
        <is>
          <t>Scale</t>
        </is>
      </c>
      <c r="P9" s="7" t="inlineStr">
        <is>
          <t>Exposure basis</t>
        </is>
      </c>
      <c r="Q9" s="7" t="inlineStr">
        <is>
          <t>As at</t>
        </is>
      </c>
    </row>
    <row r="10">
      <c r="B10" s="4" t="inlineStr">
        <is>
          <t>01. History_Transposed</t>
        </is>
      </c>
      <c r="C10" s="4" t="inlineStr">
        <is>
          <t>01 History_T</t>
        </is>
      </c>
      <c r="D10" s="5" t="inlineStr">
        <is>
          <t>Year</t>
        </is>
      </c>
      <c r="E10" s="5" t="inlineStr">
        <is>
          <t>Premium</t>
        </is>
      </c>
      <c r="F10" s="5" t="inlineStr">
        <is>
          <t>Incurred Losses</t>
        </is>
      </c>
      <c r="N10" s="6" t="inlineStr">
        <is>
          <t>Section</t>
        </is>
      </c>
      <c r="O10" s="6" t="inlineStr">
        <is>
          <t>Currency</t>
        </is>
      </c>
      <c r="P10" s="6" t="inlineStr">
        <is>
          <t>Scale</t>
        </is>
      </c>
      <c r="Q10" s="6" t="inlineStr">
        <is>
          <t>Share basis</t>
        </is>
      </c>
      <c r="R10" s="6" t="inlineStr">
        <is>
          <t>Year basis</t>
        </is>
      </c>
      <c r="S10" s="6" t="inlineStr">
        <is>
          <t>Premium basis</t>
        </is>
      </c>
      <c r="T10" s="6" t="inlineStr">
        <is>
          <t>Loss basis</t>
        </is>
      </c>
      <c r="U10" s="6" t="inlineStr">
        <is>
          <t>PF transfer</t>
        </is>
      </c>
      <c r="V10" s="6" t="inlineStr">
        <is>
          <t>As at</t>
        </is>
      </c>
    </row>
    <row r="11">
      <c r="B11" s="4" t="inlineStr">
        <is>
          <t>02. EPI Projections_Transposed</t>
        </is>
      </c>
      <c r="C11" s="4" t="inlineStr">
        <is>
          <t>02 EPI_T</t>
        </is>
      </c>
      <c r="D11" s="5" t="inlineStr">
        <is>
          <t>Year</t>
        </is>
      </c>
      <c r="E11" s="5" t="inlineStr">
        <is>
          <t>EPI</t>
        </is>
      </c>
      <c r="N11" s="6" t="inlineStr">
        <is>
          <t>Section</t>
        </is>
      </c>
      <c r="O11" s="6" t="inlineStr">
        <is>
          <t>Currency</t>
        </is>
      </c>
      <c r="P11" s="6" t="inlineStr">
        <is>
          <t>Scale</t>
        </is>
      </c>
      <c r="Q11" s="6" t="inlineStr">
        <is>
          <t>Share basis</t>
        </is>
      </c>
      <c r="R11" s="6" t="inlineStr">
        <is>
          <t>Year basis</t>
        </is>
      </c>
      <c r="S11" s="6" t="inlineStr">
        <is>
          <t>Premium basis</t>
        </is>
      </c>
      <c r="T11" s="6" t="inlineStr">
        <is>
          <t>As at</t>
        </is>
      </c>
    </row>
    <row r="13">
      <c r="B13" s="3" t="inlineStr">
        <is>
          <t>⟦SECTIONS⟧</t>
        </is>
      </c>
    </row>
    <row r="14">
      <c r="B14" s="8" t="inlineStr">
        <is>
          <t>Section</t>
        </is>
      </c>
      <c r="C14" s="8" t="inlineStr">
        <is>
          <t>Kind</t>
        </is>
      </c>
      <c r="D14" s="8" t="inlineStr">
        <is>
          <t>Datasets</t>
        </is>
      </c>
    </row>
    <row r="15">
      <c r="B15" s="6" t="inlineStr">
        <is>
          <t>Fire</t>
        </is>
      </c>
      <c r="C15" s="5" t="inlineStr">
        <is>
          <t>per risk</t>
        </is>
      </c>
      <c r="D15" s="4" t="inlineStr">
        <is>
          <t>01, 02, 03</t>
        </is>
      </c>
    </row>
    <row r="17">
      <c r="B17" s="2" t="inlineStr">
        <is>
          <t>One per-risk section: a Fire treaty. Large losses (03) apply; cat losses (04) do not, so rules scoped 'cat' are not applicable.</t>
        </is>
      </c>
    </row>
    <row r="19">
      <c r="B19" s="3" t="inlineStr">
        <is>
          <t>⟦GLOBAL⟧</t>
        </is>
      </c>
    </row>
    <row r="20">
      <c r="B20" s="8" t="inlineStr">
        <is>
          <t>Attribute</t>
        </is>
      </c>
      <c r="C20" s="8" t="inlineStr">
        <is>
          <t>Value</t>
        </is>
      </c>
    </row>
    <row r="21">
      <c r="B21" s="4" t="inlineStr">
        <is>
          <t>Actual year</t>
        </is>
      </c>
      <c r="C21" s="9" t="n">
        <v>2025</v>
      </c>
    </row>
    <row r="22">
      <c r="B22" s="4" t="inlineStr">
        <is>
          <t>Treaty type</t>
        </is>
      </c>
      <c r="C22" s="6" t="inlineStr">
        <is>
          <t>Fire</t>
        </is>
      </c>
    </row>
    <row r="23">
      <c r="B23" s="4" t="inlineStr">
        <is>
          <t>Cedent</t>
        </is>
      </c>
      <c r="C23" s="6" t="inlineStr">
        <is>
          <t>Example Insurance SA</t>
        </is>
      </c>
    </row>
    <row r="24">
      <c r="B24" s="4" t="inlineStr">
        <is>
          <t>Treaty</t>
        </is>
      </c>
      <c r="C24" s="6" t="inlineStr">
        <is>
          <t>Property per Risk XL</t>
        </is>
      </c>
    </row>
    <row r="26">
      <c r="B26" s="2" t="inlineStr">
        <is>
          <t>Actual year is N: the expiring year. The renewal being underwritten is N+1. Sheet attributes override these; block attributes override the sheet.</t>
        </is>
      </c>
    </row>
    <row r="28">
      <c r="B28" s="3" t="inlineStr">
        <is>
          <t>⟦TYPES⟧</t>
        </is>
      </c>
    </row>
    <row r="29">
      <c r="B29" s="8" t="inlineStr">
        <is>
          <t>Field</t>
        </is>
      </c>
      <c r="C29" s="8" t="inlineStr">
        <is>
          <t>Type</t>
        </is>
      </c>
    </row>
    <row r="30">
      <c r="B30" s="4" t="inlineStr">
        <is>
          <t>Year</t>
        </is>
      </c>
      <c r="C30" s="5" t="inlineStr">
        <is>
          <t>text</t>
        </is>
      </c>
    </row>
    <row r="31">
      <c r="B31" s="4" t="inlineStr">
        <is>
          <t>Premium</t>
        </is>
      </c>
      <c r="C31" s="5" t="inlineStr">
        <is>
          <t>number</t>
        </is>
      </c>
    </row>
    <row r="32">
      <c r="B32" s="4" t="inlineStr">
        <is>
          <t>Incurred Losses</t>
        </is>
      </c>
      <c r="C32" s="5" t="inlineStr">
        <is>
          <t>number</t>
        </is>
      </c>
    </row>
    <row r="33">
      <c r="B33" s="4" t="inlineStr">
        <is>
          <t>EPI</t>
        </is>
      </c>
      <c r="C33" s="5" t="inlineStr">
        <is>
          <t>number</t>
        </is>
      </c>
    </row>
    <row r="34">
      <c r="B34" s="4" t="inlineStr">
        <is>
          <t>Band</t>
        </is>
      </c>
      <c r="C34" s="5" t="inlineStr">
        <is>
          <t>text</t>
        </is>
      </c>
    </row>
    <row r="35">
      <c r="B35" s="4" t="inlineStr">
        <is>
          <t>Number of Risks</t>
        </is>
      </c>
      <c r="C35" s="5" t="inlineStr">
        <is>
          <t>number</t>
        </is>
      </c>
    </row>
    <row r="36">
      <c r="B36" s="4" t="inlineStr">
        <is>
          <t>Sum Insured</t>
        </is>
      </c>
      <c r="C36" s="5" t="inlineStr">
        <is>
          <t>number</t>
        </is>
      </c>
    </row>
    <row r="37">
      <c r="B37" s="4" t="inlineStr">
        <is>
          <t>Claim Reference</t>
        </is>
      </c>
      <c r="C37" s="5" t="inlineStr">
        <is>
          <t>text</t>
        </is>
      </c>
    </row>
    <row r="38">
      <c r="B38" s="4" t="inlineStr">
        <is>
          <t>Event Name</t>
        </is>
      </c>
      <c r="C38" s="5" t="inlineStr">
        <is>
          <t>text</t>
        </is>
      </c>
    </row>
    <row r="39">
      <c r="B39" s="4" t="inlineStr">
        <is>
          <t>Name of Loss</t>
        </is>
      </c>
      <c r="C39" s="5" t="inlineStr">
        <is>
          <t>text</t>
        </is>
      </c>
    </row>
    <row r="40">
      <c r="B40" s="4" t="inlineStr">
        <is>
          <t>Event ID</t>
        </is>
      </c>
      <c r="C40" s="5" t="inlineStr">
        <is>
          <t>text</t>
        </is>
      </c>
    </row>
    <row r="41">
      <c r="B41" s="4" t="inlineStr">
        <is>
          <t>Loss amount</t>
        </is>
      </c>
      <c r="C41" s="5" t="inlineStr">
        <is>
          <t>number</t>
        </is>
      </c>
    </row>
    <row r="42">
      <c r="B42" s="4" t="inlineStr">
        <is>
          <t>Number of Claims</t>
        </is>
      </c>
      <c r="C42" s="5" t="inlineStr">
        <is>
          <t>number</t>
        </is>
      </c>
    </row>
    <row r="43">
      <c r="B43" s="4" t="inlineStr">
        <is>
          <t>Date of Loss</t>
        </is>
      </c>
      <c r="C43" s="5" t="inlineStr">
        <is>
          <t>date</t>
        </is>
      </c>
    </row>
    <row r="44">
      <c r="B44" s="4" t="inlineStr">
        <is>
          <t>Event Date</t>
        </is>
      </c>
      <c r="C44" s="5" t="inlineStr">
        <is>
          <t>date</t>
        </is>
      </c>
    </row>
    <row r="45">
      <c r="B45" s="4" t="inlineStr">
        <is>
          <t>Event End Date</t>
        </is>
      </c>
      <c r="C45" s="5" t="inlineStr">
        <is>
          <t>date</t>
        </is>
      </c>
    </row>
    <row r="47">
      <c r="B47" s="2" t="inlineStr">
        <is>
          <t>A field name carries one type across the whole workbook. Year is text because 2026 and '2026 9 months' are two records.</t>
        </is>
      </c>
    </row>
    <row r="49">
      <c r="B49" s="3" t="inlineStr">
        <is>
          <t>⟦VOCABULARY⟧</t>
        </is>
      </c>
    </row>
    <row r="50">
      <c r="B50" s="8" t="inlineStr">
        <is>
          <t>Attribute</t>
        </is>
      </c>
      <c r="C50" s="8" t="inlineStr">
        <is>
          <t>Permitted values</t>
        </is>
      </c>
    </row>
    <row r="51">
      <c r="B51" s="4" t="inlineStr">
        <is>
          <t>Year basis</t>
        </is>
      </c>
      <c r="C51" s="4" t="inlineStr">
        <is>
          <t>UW | Occurrence</t>
        </is>
      </c>
    </row>
    <row r="52">
      <c r="B52" s="4" t="inlineStr">
        <is>
          <t>Premium basis</t>
        </is>
      </c>
      <c r="C52" s="4" t="inlineStr">
        <is>
          <t>GWP | GNPI | Written | Earned | Signed</t>
        </is>
      </c>
    </row>
    <row r="53">
      <c r="B53" s="4" t="inlineStr">
        <is>
          <t>Loss basis</t>
        </is>
      </c>
      <c r="C53" s="4" t="inlineStr">
        <is>
          <t>Paid | Incurred</t>
        </is>
      </c>
    </row>
    <row r="54">
      <c r="B54" s="4" t="inlineStr">
        <is>
          <t>PF transfer</t>
        </is>
      </c>
      <c r="C54" s="4" t="inlineStr">
        <is>
          <t>with clean cut | without clean cut | none</t>
        </is>
      </c>
    </row>
    <row r="55">
      <c r="B55" s="4" t="inlineStr">
        <is>
          <t>Exposure basis</t>
        </is>
      </c>
      <c r="C55" s="4" t="inlineStr">
        <is>
          <t>Sum Insured | EML | PML | MPL</t>
        </is>
      </c>
    </row>
    <row r="56">
      <c r="B56" s="4" t="inlineStr">
        <is>
          <t>Scale</t>
        </is>
      </c>
      <c r="C56" s="4" t="inlineStr">
        <is>
          <t>1 | 1,000 | 1,000,000</t>
        </is>
      </c>
    </row>
    <row r="57">
      <c r="B57" s="4" t="inlineStr">
        <is>
          <t>Share basis</t>
        </is>
      </c>
      <c r="C57" s="4" t="inlineStr">
        <is>
          <t>100% | ceded only</t>
        </is>
      </c>
    </row>
    <row r="58">
      <c r="B58" s="4" t="inlineStr">
        <is>
          <t>Date format</t>
        </is>
      </c>
      <c r="C58" s="4" t="inlineStr">
        <is>
          <t>ISO | DD.MM.YYYY | MM/DD/YYYY</t>
        </is>
      </c>
    </row>
    <row r="59">
      <c r="B59" s="4" t="inlineStr">
        <is>
          <t>Occurrence year from</t>
        </is>
      </c>
      <c r="C59" s="4" t="inlineStr">
        <is>
          <t>Event Date | Event End Date</t>
        </is>
      </c>
    </row>
    <row r="60">
      <c r="B60" s="4" t="inlineStr">
        <is>
          <t>Currency</t>
        </is>
      </c>
      <c r="C60" s="4" t="inlineStr">
        <is>
          <t>ISO 4217</t>
        </is>
      </c>
    </row>
    <row r="63">
      <c r="B63" s="3" t="inlineStr">
        <is>
          <t>⟦PERIOD ORDER⟧</t>
        </is>
      </c>
    </row>
    <row r="64">
      <c r="B64" s="8" t="inlineStr">
        <is>
          <t>Rank</t>
        </is>
      </c>
      <c r="C64" s="8" t="inlineStr">
        <is>
          <t>Suffix</t>
        </is>
      </c>
    </row>
    <row r="65">
      <c r="B65" s="10" t="n">
        <v>1</v>
      </c>
      <c r="C65" s="5" t="inlineStr">
        <is>
          <t>est</t>
        </is>
      </c>
    </row>
    <row r="66">
      <c r="B66" s="10" t="n">
        <v>2</v>
      </c>
      <c r="C66" s="5" t="inlineStr">
        <is>
          <t>9 months</t>
        </is>
      </c>
    </row>
    <row r="67">
      <c r="B67" s="10" t="n">
        <v>3</v>
      </c>
      <c r="C67" s="5" t="inlineStr">
        <is>
          <t>re-est</t>
        </is>
      </c>
    </row>
    <row r="69">
      <c r="B69" s="2" t="inlineStr">
        <is>
          <t>Within one year the suffixes sort in this order, not alphabetically: est comes before 9 months even though '9' &lt; 'e'. A bare year sorts first; an unlisted suffix sorts last.</t>
        </is>
      </c>
    </row>
    <row r="71">
      <c r="B71" s="3" t="inlineStr">
        <is>
          <t>⟦RULES⟧</t>
        </is>
      </c>
    </row>
    <row r="72">
      <c r="B72" s="8" t="inlineStr">
        <is>
          <t>ID</t>
        </is>
      </c>
      <c r="C72" s="8" t="inlineStr">
        <is>
          <t>Left</t>
        </is>
      </c>
      <c r="D72" s="8" t="inlineStr">
        <is>
          <t>Rel</t>
        </is>
      </c>
      <c r="E72" s="8" t="inlineStr">
        <is>
          <t>Right</t>
        </is>
      </c>
      <c r="F72" s="8" t="inlineStr">
        <is>
          <t>Tolerance</t>
        </is>
      </c>
      <c r="G72" s="8" t="inlineStr">
        <is>
          <t>Severity</t>
        </is>
      </c>
      <c r="H72" s="8" t="inlineStr">
        <is>
          <t>Scope</t>
        </is>
      </c>
      <c r="I72" s="8" t="inlineStr">
        <is>
          <t>Note</t>
        </is>
      </c>
    </row>
    <row r="73">
      <c r="B73" s="8" t="inlineStr">
        <is>
          <t>R-05</t>
        </is>
      </c>
      <c r="C73" s="11" t="inlineStr">
        <is>
          <t>01 History.Premium@{N} 9 months</t>
        </is>
      </c>
      <c r="D73" s="8" t="inlineStr">
        <is>
          <t>=</t>
        </is>
      </c>
      <c r="E73" s="11" t="inlineStr">
        <is>
          <t>02 EPI.EPI@{N} 9 months</t>
        </is>
      </c>
      <c r="F73" s="4" t="n">
        <v>1</v>
      </c>
      <c r="G73" s="4" t="inlineStr">
        <is>
          <t>error</t>
        </is>
      </c>
      <c r="H73" s="5" t="inlineStr">
        <is>
          <t>all</t>
        </is>
      </c>
      <c r="I73" s="2" t="inlineStr">
        <is>
          <t>same nine months reported in two sheets</t>
        </is>
      </c>
    </row>
    <row r="74">
      <c r="B74" s="8" t="inlineStr">
        <is>
          <t>R-06</t>
        </is>
      </c>
      <c r="C74" s="11" t="inlineStr">
        <is>
          <t>01 History.Premium@{N}</t>
        </is>
      </c>
      <c r="D74" s="8" t="inlineStr">
        <is>
          <t>=</t>
        </is>
      </c>
      <c r="E74" s="11" t="inlineStr">
        <is>
          <t>02 EPI.EPI@{N} re-est</t>
        </is>
      </c>
      <c r="F74" s="4" t="n">
        <v>1</v>
      </c>
      <c r="G74" s="4" t="inlineStr">
        <is>
          <t>error</t>
        </is>
      </c>
      <c r="H74" s="5" t="inlineStr">
        <is>
          <t>all</t>
        </is>
      </c>
      <c r="I74" s="2" t="inlineStr">
        <is>
          <t>a full-year N in History is an estimate, not an actual</t>
        </is>
      </c>
    </row>
    <row r="75">
      <c r="B75" s="8" t="inlineStr">
        <is>
          <t>R-07</t>
        </is>
      </c>
      <c r="C75" s="11" t="inlineStr">
        <is>
          <t>02 EPI.EPI@{N} re-est</t>
        </is>
      </c>
      <c r="D75" s="8" t="inlineStr">
        <is>
          <t>&gt;=</t>
        </is>
      </c>
      <c r="E75" s="11" t="inlineStr">
        <is>
          <t>02 EPI.EPI@{N} 9 months</t>
        </is>
      </c>
      <c r="F75" s="4" t="n">
        <v>0</v>
      </c>
      <c r="G75" s="4" t="inlineStr">
        <is>
          <t>error</t>
        </is>
      </c>
      <c r="H75" s="5" t="inlineStr">
        <is>
          <t>all</t>
        </is>
      </c>
      <c r="I75" s="2" t="inlineStr">
        <is>
          <t>premium accrues; a re-estimate cannot fall below what is booked</t>
        </is>
      </c>
    </row>
    <row r="76">
      <c r="B76" s="8" t="inlineStr">
        <is>
          <t>R-01</t>
        </is>
      </c>
      <c r="C76" s="11" t="inlineStr">
        <is>
          <t>SUM(03 Large.Loss amount@{Y})</t>
        </is>
      </c>
      <c r="D76" s="8" t="inlineStr">
        <is>
          <t>&lt;=</t>
        </is>
      </c>
      <c r="E76" s="11" t="inlineStr">
        <is>
          <t>01 History.Incurred Losses@{Y}</t>
        </is>
      </c>
      <c r="F76" s="4" t="n">
        <v>1</v>
      </c>
      <c r="G76" s="4" t="inlineStr">
        <is>
          <t>error</t>
        </is>
      </c>
      <c r="H76" s="5" t="inlineStr">
        <is>
          <t>per risk</t>
        </is>
      </c>
      <c r="I76" s="2" t="inlineStr">
        <is>
          <t>large losses cannot exceed total incurred for the same year</t>
        </is>
      </c>
    </row>
    <row r="77">
      <c r="B77" s="8" t="inlineStr">
        <is>
          <t>R-09</t>
        </is>
      </c>
      <c r="C77" s="11" t="inlineStr">
        <is>
          <t>01 History.Year basis</t>
        </is>
      </c>
      <c r="D77" s="8" t="inlineStr">
        <is>
          <t>=</t>
        </is>
      </c>
      <c r="E77" s="11" t="inlineStr">
        <is>
          <t>03 Large.Year basis</t>
        </is>
      </c>
      <c r="F77" s="4" t="n">
        <v>0</v>
      </c>
      <c r="G77" s="4" t="inlineStr">
        <is>
          <t>error</t>
        </is>
      </c>
      <c r="H77" s="5" t="inlineStr">
        <is>
          <t>per risk</t>
        </is>
      </c>
      <c r="I77" s="2" t="inlineStr">
        <is>
          <t>history and large losses must be on the same year basis</t>
        </is>
      </c>
    </row>
    <row r="78">
      <c r="B78" s="8" t="inlineStr">
        <is>
          <t>R-02</t>
        </is>
      </c>
      <c r="C78" s="11" t="inlineStr">
        <is>
          <t>SUM(04 Cat.Loss amount@{Y})</t>
        </is>
      </c>
      <c r="D78" s="8" t="inlineStr">
        <is>
          <t>&lt;=</t>
        </is>
      </c>
      <c r="E78" s="11" t="inlineStr">
        <is>
          <t>01 History.Incurred Losses@{Y}</t>
        </is>
      </c>
      <c r="F78" s="4" t="n">
        <v>1</v>
      </c>
      <c r="G78" s="4" t="inlineStr">
        <is>
          <t>error</t>
        </is>
      </c>
      <c r="H78" s="5" t="inlineStr">
        <is>
          <t>cat</t>
        </is>
      </c>
      <c r="I78" s="2" t="inlineStr">
        <is>
          <t>cat losses cannot exceed total incurred for the same year</t>
        </is>
      </c>
    </row>
    <row r="79">
      <c r="B79" s="8" t="inlineStr">
        <is>
          <t>R-10</t>
        </is>
      </c>
      <c r="C79" s="11" t="inlineStr">
        <is>
          <t>01 History.Year basis</t>
        </is>
      </c>
      <c r="D79" s="8" t="inlineStr">
        <is>
          <t>=</t>
        </is>
      </c>
      <c r="E79" s="11" t="inlineStr">
        <is>
          <t>04 Cat.Year basis</t>
        </is>
      </c>
      <c r="F79" s="4" t="n">
        <v>0</v>
      </c>
      <c r="G79" s="4" t="inlineStr">
        <is>
          <t>error</t>
        </is>
      </c>
      <c r="H79" s="5" t="inlineStr">
        <is>
          <t>cat</t>
        </is>
      </c>
      <c r="I79" s="2" t="inlineStr">
        <is>
          <t>history and cat losses must be on the same year basis</t>
        </is>
      </c>
    </row>
    <row r="81">
      <c r="B81" s="2" t="inlineStr">
        <is>
          <t>Forms: &lt;key&gt;.&lt;field&gt;@&lt;record&gt; · &lt;key&gt;.&lt;attribute&gt; · SUM(&lt;key&gt;.&lt;field&gt;@&lt;record&gt;).  {N} resolves from ⟦GLOBAL⟧; {Y} expands the rule once per year. A rule is skipped, not guessed, when a basis or currency differs; it is 'not applicable' when the dataset is absent from this pack.</t>
        </is>
      </c>
    </row>
    <row r="83">
      <c r="B83" s="3" t="inlineStr">
        <is>
          <t>⟦MARKERS⟧  —  written in column A of every other sheet</t>
        </is>
      </c>
    </row>
    <row r="84">
      <c r="B84" s="8" t="inlineStr">
        <is>
          <t>Marker</t>
        </is>
      </c>
      <c r="C84" s="8" t="inlineStr">
        <is>
          <t>Meaning</t>
        </is>
      </c>
    </row>
    <row r="85">
      <c r="B85" s="12" t="inlineStr">
        <is>
          <t>Header_i</t>
        </is>
      </c>
      <c r="C85" s="4" t="inlineStr">
        <is>
          <t>row-wise: this row is block i's extraction row (declared labels only)</t>
        </is>
      </c>
    </row>
    <row r="86">
      <c r="B86" s="12" t="inlineStr">
        <is>
          <t>Header_i = &lt;col&gt;</t>
        </is>
      </c>
      <c r="C86" s="4" t="inlineStr">
        <is>
          <t>transposed: this column is block i's extraction column</t>
        </is>
      </c>
    </row>
    <row r="87">
      <c r="B87" s="12" t="inlineStr">
        <is>
          <t>Info_i = &lt;col&gt;</t>
        </is>
      </c>
      <c r="C87" s="4" t="inlineStr">
        <is>
          <t>row-wise: this column holds the record selectors, =ROW()</t>
        </is>
      </c>
    </row>
    <row r="88">
      <c r="B88" s="12" t="inlineStr">
        <is>
          <t>Info_i = &lt;row&gt;</t>
        </is>
      </c>
      <c r="C88" s="4" t="inlineStr">
        <is>
          <t>transposed: this row holds the record selectors, =COLUMN()</t>
        </is>
      </c>
    </row>
    <row r="89">
      <c r="B89" s="12" t="inlineStr">
        <is>
          <t>Transpose_i</t>
        </is>
      </c>
      <c r="C89" s="4" t="inlineStr">
        <is>
          <t>block i is transposed</t>
        </is>
      </c>
    </row>
    <row r="90">
      <c r="B90" s="12" t="inlineStr">
        <is>
          <t>&lt;Attribute&gt; = &lt;value&gt;</t>
        </is>
      </c>
      <c r="C90" s="4" t="inlineStr">
        <is>
          <t>an attribute of the sheet (unsuffixed) or block i (suffixed _i)</t>
        </is>
      </c>
    </row>
    <row r="91">
      <c r="B91" s="12" t="inlineStr">
        <is>
          <t>H_&lt;Attribute&gt; = &lt;val&gt;</t>
        </is>
      </c>
      <c r="C91" s="4" t="inlineStr">
        <is>
          <t>the same, declared as a hypothesis — raises a query</t>
        </is>
      </c>
    </row>
    <row r="93">
      <c r="B93" s="8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  <col width="10" customWidth="1" min="12" max="12"/>
  </cols>
  <sheetData>
    <row r="1">
      <c r="A1" s="13" t="inlineStr">
        <is>
          <t>Section = Fire</t>
        </is>
      </c>
      <c r="B1" s="1" t="inlineStr">
        <is>
          <t>01. History — row-wise reference block</t>
        </is>
      </c>
    </row>
    <row r="2">
      <c r="A2" s="13" t="inlineStr">
        <is>
          <t>Currency = USD</t>
        </is>
      </c>
      <c r="B2" s="8" t="inlineStr">
        <is>
          <t>Treaty XYZ — Property per Risk XL</t>
        </is>
      </c>
    </row>
    <row r="3">
      <c r="A3" s="13" t="inlineStr">
        <is>
          <t>Scale = 1,000</t>
        </is>
      </c>
    </row>
    <row r="4">
      <c r="A4" s="13" t="inlineStr">
        <is>
          <t>H_Year basis = UW</t>
        </is>
      </c>
    </row>
    <row r="5">
      <c r="A5" s="13" t="inlineStr">
        <is>
          <t>Premium basis = GNPI</t>
        </is>
      </c>
    </row>
    <row r="6">
      <c r="A6" s="13" t="inlineStr">
        <is>
          <t>H_Loss basis = Incurred</t>
        </is>
      </c>
    </row>
    <row r="7">
      <c r="A7" s="13" t="inlineStr">
        <is>
          <t>Share basis = 100%</t>
        </is>
      </c>
      <c r="B7" s="7" t="inlineStr">
        <is>
          <t>UW Year</t>
        </is>
      </c>
      <c r="C7" s="7" t="inlineStr">
        <is>
          <t>Policies</t>
        </is>
      </c>
      <c r="D7" s="7" t="inlineStr">
        <is>
          <t>Prem.</t>
        </is>
      </c>
      <c r="E7" s="7" t="inlineStr">
        <is>
          <t>Comm. %</t>
        </is>
      </c>
      <c r="F7" s="7" t="inlineStr">
        <is>
          <t>Rate</t>
        </is>
      </c>
      <c r="G7" s="7" t="inlineStr">
        <is>
          <t>Incurred</t>
        </is>
      </c>
      <c r="H7" s="2" t="inlineStr">
        <is>
          <t>← source header, never read</t>
        </is>
      </c>
      <c r="L7" s="2" t="inlineStr">
        <is>
          <t>selector</t>
        </is>
      </c>
    </row>
    <row r="8">
      <c r="A8" s="14" t="inlineStr">
        <is>
          <t>Header_1</t>
        </is>
      </c>
      <c r="B8" s="15" t="inlineStr">
        <is>
          <t>Year</t>
        </is>
      </c>
      <c r="D8" s="15" t="inlineStr">
        <is>
          <t>Premium</t>
        </is>
      </c>
      <c r="G8" s="15" t="inlineStr">
        <is>
          <t>Incurred Losses</t>
        </is>
      </c>
      <c r="H8" s="2" t="inlineStr">
        <is>
          <t>← extraction row (Header_1): blanks mean 'not extracted'</t>
        </is>
      </c>
    </row>
    <row r="9">
      <c r="B9" s="10" t="n">
        <v>2021</v>
      </c>
      <c r="C9" s="16" t="n">
        <v>1240</v>
      </c>
      <c r="D9" s="16" t="n">
        <v>15900</v>
      </c>
      <c r="E9" s="17" t="n">
        <v>0.225</v>
      </c>
      <c r="F9" s="18" t="n">
        <v>1.02</v>
      </c>
      <c r="G9" s="16" t="n">
        <v>14930</v>
      </c>
      <c r="L9" s="19">
        <f>ROW()</f>
        <v>9</v>
      </c>
    </row>
    <row r="10">
      <c r="B10" s="10" t="n">
        <v>2022</v>
      </c>
      <c r="C10" s="16" t="n">
        <v>1310</v>
      </c>
      <c r="D10" s="16" t="n">
        <v>16740</v>
      </c>
      <c r="E10" s="17" t="n">
        <v>0.225</v>
      </c>
      <c r="F10" s="18" t="n">
        <v>1.04</v>
      </c>
      <c r="G10" s="16" t="n">
        <v>10030</v>
      </c>
      <c r="L10" s="19">
        <f>ROW()</f>
        <v>10</v>
      </c>
    </row>
    <row r="11">
      <c r="B11" s="10" t="n">
        <v>2023</v>
      </c>
      <c r="C11" s="16" t="n">
        <v>1395</v>
      </c>
      <c r="D11" s="16" t="n">
        <v>17520</v>
      </c>
      <c r="E11" s="17" t="n">
        <v>0.23</v>
      </c>
      <c r="F11" s="18" t="n">
        <v>1.06</v>
      </c>
      <c r="G11" s="16" t="n">
        <v>12660</v>
      </c>
      <c r="L11" s="19">
        <f>ROW()</f>
        <v>11</v>
      </c>
    </row>
    <row r="12">
      <c r="B12" s="10" t="n">
        <v>2024</v>
      </c>
      <c r="C12" s="16" t="n">
        <v>1460</v>
      </c>
      <c r="D12" s="16" t="n">
        <v>18390</v>
      </c>
      <c r="E12" s="17" t="n">
        <v>0.23</v>
      </c>
      <c r="F12" s="18" t="n">
        <v>1.03</v>
      </c>
      <c r="G12" s="16" t="n">
        <v>11700</v>
      </c>
      <c r="L12" s="19">
        <f>ROW()</f>
        <v>12</v>
      </c>
    </row>
    <row r="13">
      <c r="B13" s="10" t="n">
        <v>2025</v>
      </c>
      <c r="C13" s="16" t="n">
        <v>1505</v>
      </c>
      <c r="D13" s="16" t="n">
        <v>19200</v>
      </c>
      <c r="E13" s="17" t="n">
        <v>0.235</v>
      </c>
      <c r="F13" s="18" t="n">
        <v>1.05</v>
      </c>
      <c r="G13" s="16" t="n">
        <v>10250</v>
      </c>
      <c r="L13" s="19">
        <f>ROW()</f>
        <v>13</v>
      </c>
    </row>
    <row r="14">
      <c r="B14" s="20" t="inlineStr">
        <is>
          <t>2025 9 months</t>
        </is>
      </c>
      <c r="C14" s="16" t="n">
        <v>1180</v>
      </c>
      <c r="D14" s="16" t="n">
        <v>14400</v>
      </c>
      <c r="E14" s="17" t="n">
        <v>0.235</v>
      </c>
      <c r="F14" s="18" t="n">
        <v>1.05</v>
      </c>
      <c r="G14" s="16" t="n">
        <v>7100</v>
      </c>
      <c r="L14" s="19">
        <f>ROW()</f>
        <v>14</v>
      </c>
    </row>
    <row r="15">
      <c r="A15" s="13" t="inlineStr">
        <is>
          <t>H_PF transfer = with clean cut</t>
        </is>
      </c>
      <c r="B15" s="8" t="inlineStr">
        <is>
          <t>Total</t>
        </is>
      </c>
      <c r="C15" s="21">
        <f>SUM(C9:C14)</f>
        <v>8090</v>
      </c>
      <c r="D15" s="21">
        <f>SUM(D9:D14)</f>
        <v>102150</v>
      </c>
      <c r="G15" s="21">
        <f>SUM(G9:G14)</f>
        <v>66670</v>
      </c>
      <c r="H15" s="2" t="inlineStr">
        <is>
          <t>← selector empty: excluded from extraction, reused as control</t>
        </is>
      </c>
    </row>
    <row r="17">
      <c r="A17" s="14" t="inlineStr">
        <is>
          <t>Info_1 = L</t>
        </is>
      </c>
    </row>
    <row r="18">
      <c r="A18" s="13" t="inlineStr">
        <is>
          <t>As at = 31.12.2025</t>
        </is>
      </c>
      <c r="B18" s="2" t="inlineStr">
        <is>
          <t>Note: 2025 shown both as a full year and as the first nine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Section = Fire</t>
        </is>
      </c>
      <c r="B1" s="1" t="inlineStr">
        <is>
          <t>01. History — transposed reference block (same data, same result)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H_Year basis = UW</t>
        </is>
      </c>
    </row>
    <row r="5">
      <c r="A5" s="14" t="inlineStr">
        <is>
          <t>Transpose_1</t>
        </is>
      </c>
    </row>
    <row r="6">
      <c r="A6" s="14" t="inlineStr">
        <is>
          <t>Header_1 = C</t>
        </is>
      </c>
    </row>
    <row r="7">
      <c r="A7" s="14" t="inlineStr">
        <is>
          <t>Info_1 = 16</t>
        </is>
      </c>
    </row>
    <row r="8">
      <c r="A8" s="13" t="inlineStr">
        <is>
          <t>Premium basis = GNPI</t>
        </is>
      </c>
      <c r="B8" s="7" t="inlineStr">
        <is>
          <t>UW Year</t>
        </is>
      </c>
      <c r="C8" s="15" t="inlineStr">
        <is>
          <t>Year</t>
        </is>
      </c>
      <c r="D8" s="10" t="n">
        <v>2021</v>
      </c>
      <c r="E8" s="10" t="n">
        <v>2022</v>
      </c>
      <c r="F8" s="10" t="n">
        <v>2023</v>
      </c>
      <c r="G8" s="10" t="n">
        <v>2024</v>
      </c>
      <c r="H8" s="10" t="n">
        <v>2025</v>
      </c>
      <c r="I8" s="20" t="inlineStr">
        <is>
          <t>2025 9 months</t>
        </is>
      </c>
      <c r="J8" s="8" t="inlineStr">
        <is>
          <t>Total</t>
        </is>
      </c>
    </row>
    <row r="9">
      <c r="A9" s="13" t="inlineStr">
        <is>
          <t>Share basis = 100%</t>
        </is>
      </c>
      <c r="B9" s="7" t="inlineStr">
        <is>
          <t>Policies</t>
        </is>
      </c>
      <c r="D9" s="16" t="n">
        <v>1240</v>
      </c>
      <c r="E9" s="16" t="n">
        <v>1310</v>
      </c>
      <c r="F9" s="16" t="n">
        <v>1395</v>
      </c>
      <c r="G9" s="16" t="n">
        <v>1460</v>
      </c>
      <c r="H9" s="16" t="n">
        <v>1505</v>
      </c>
      <c r="I9" s="16" t="n">
        <v>1180</v>
      </c>
      <c r="J9" s="21">
        <f>SUM(D9:I9)</f>
        <v>8090</v>
      </c>
    </row>
    <row r="10">
      <c r="A10" s="13" t="inlineStr">
        <is>
          <t>H_Loss basis = Incurred</t>
        </is>
      </c>
      <c r="B10" s="7" t="inlineStr">
        <is>
          <t>Prem.</t>
        </is>
      </c>
      <c r="C10" s="15" t="inlineStr">
        <is>
          <t>Premium</t>
        </is>
      </c>
      <c r="D10" s="16" t="n">
        <v>15900</v>
      </c>
      <c r="E10" s="16" t="n">
        <v>16740</v>
      </c>
      <c r="F10" s="16" t="n">
        <v>17520</v>
      </c>
      <c r="G10" s="16" t="n">
        <v>18390</v>
      </c>
      <c r="H10" s="16" t="n">
        <v>19200</v>
      </c>
      <c r="I10" s="16" t="n">
        <v>14400</v>
      </c>
      <c r="J10" s="21">
        <f>SUM(D10:I10)</f>
        <v>102150</v>
      </c>
    </row>
    <row r="11">
      <c r="B11" s="7" t="inlineStr">
        <is>
          <t>Comm. %</t>
        </is>
      </c>
      <c r="D11" s="17" t="n">
        <v>0.225</v>
      </c>
      <c r="E11" s="17" t="n">
        <v>0.225</v>
      </c>
      <c r="F11" s="17" t="n">
        <v>0.23</v>
      </c>
      <c r="G11" s="17" t="n">
        <v>0.23</v>
      </c>
      <c r="H11" s="17" t="n">
        <v>0.235</v>
      </c>
      <c r="I11" s="17" t="n">
        <v>0.235</v>
      </c>
    </row>
    <row r="12">
      <c r="B12" s="7" t="inlineStr">
        <is>
          <t>Rate</t>
        </is>
      </c>
      <c r="D12" s="18" t="n">
        <v>1.02</v>
      </c>
      <c r="E12" s="18" t="n">
        <v>1.04</v>
      </c>
      <c r="F12" s="18" t="n">
        <v>1.06</v>
      </c>
      <c r="G12" s="18" t="n">
        <v>1.03</v>
      </c>
      <c r="H12" s="18" t="n">
        <v>1.05</v>
      </c>
      <c r="I12" s="18" t="n">
        <v>1.05</v>
      </c>
    </row>
    <row r="13">
      <c r="A13" s="13" t="inlineStr">
        <is>
          <t>H_PF transfer = with clean cut</t>
        </is>
      </c>
      <c r="B13" s="7" t="inlineStr">
        <is>
          <t>Incurred</t>
        </is>
      </c>
      <c r="C13" s="15" t="inlineStr">
        <is>
          <t>Incurred Losses</t>
        </is>
      </c>
      <c r="D13" s="16" t="n">
        <v>14930</v>
      </c>
      <c r="E13" s="16" t="n">
        <v>10030</v>
      </c>
      <c r="F13" s="16" t="n">
        <v>12660</v>
      </c>
      <c r="G13" s="16" t="n">
        <v>11700</v>
      </c>
      <c r="H13" s="16" t="n">
        <v>10250</v>
      </c>
      <c r="I13" s="16" t="n">
        <v>7100</v>
      </c>
      <c r="J13" s="21">
        <f>SUM(D13:I13)</f>
        <v>66670</v>
      </c>
    </row>
    <row r="16">
      <c r="A16" s="13" t="inlineStr">
        <is>
          <t>As at = 31.12.2025</t>
        </is>
      </c>
      <c r="C16" s="2" t="inlineStr">
        <is>
          <t>selector →</t>
        </is>
      </c>
      <c r="D16" s="19">
        <f>COLUMN()</f>
        <v>4</v>
      </c>
      <c r="E16" s="19">
        <f>COLUMN()</f>
        <v>5</v>
      </c>
      <c r="F16" s="19">
        <f>COLUMN()</f>
        <v>6</v>
      </c>
      <c r="G16" s="19">
        <f>COLUMN()</f>
        <v>7</v>
      </c>
      <c r="H16" s="19">
        <f>COLUMN()</f>
        <v>8</v>
      </c>
      <c r="I16" s="19">
        <f>COLUMN()</f>
        <v>9</v>
      </c>
    </row>
    <row r="18">
      <c r="B18" s="2" t="inlineStr">
        <is>
          <t>Column B is the sheet's own labels and is never read. Column C is the extraction column named by Header_1.</t>
        </is>
      </c>
    </row>
    <row r="19">
      <c r="B19" s="2" t="inlineStr">
        <is>
          <t>The Total column has no selector: excluded from extraction, reused as control.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0" customWidth="1" min="4" max="4"/>
    <col width="30" customWidth="1" min="5" max="5"/>
    <col width="44" customWidth="1" min="6" max="6"/>
    <col width="10" customWidth="1" min="11" max="11"/>
  </cols>
  <sheetData>
    <row r="1">
      <c r="A1" s="13" t="inlineStr">
        <is>
          <t>Section = Fire</t>
        </is>
      </c>
      <c r="B1" s="1" t="inlineStr">
        <is>
          <t>02. EPI Projections — premium projections for N and N+1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Premium basis = GNPI</t>
        </is>
      </c>
    </row>
    <row r="5">
      <c r="A5" s="13" t="inlineStr">
        <is>
          <t>H_Year basis = UW</t>
        </is>
      </c>
    </row>
    <row r="6">
      <c r="A6" s="13" t="inlineStr">
        <is>
          <t>Share basis = 100%</t>
        </is>
      </c>
    </row>
    <row r="7">
      <c r="B7" s="7" t="inlineStr">
        <is>
          <t>Period</t>
        </is>
      </c>
      <c r="C7" s="7" t="inlineStr">
        <is>
          <t>EPI (net)</t>
        </is>
      </c>
      <c r="D7" s="7" t="inlineStr">
        <is>
          <t>Share %</t>
        </is>
      </c>
      <c r="E7" s="7" t="inlineStr">
        <is>
          <t>Comment</t>
        </is>
      </c>
      <c r="F7" s="2" t="inlineStr">
        <is>
          <t>← source header, never read</t>
        </is>
      </c>
      <c r="K7" s="2" t="inlineStr">
        <is>
          <t>selector</t>
        </is>
      </c>
    </row>
    <row r="8">
      <c r="A8" s="14" t="inlineStr">
        <is>
          <t>Header_1</t>
        </is>
      </c>
      <c r="B8" s="15" t="inlineStr">
        <is>
          <t>Year</t>
        </is>
      </c>
      <c r="C8" s="15" t="inlineStr">
        <is>
          <t>EPI</t>
        </is>
      </c>
      <c r="F8" s="2" t="inlineStr">
        <is>
          <t>← extraction row: Share % and Comment are not declared in 00</t>
        </is>
      </c>
    </row>
    <row r="9">
      <c r="B9" s="20" t="inlineStr">
        <is>
          <t>2025 est</t>
        </is>
      </c>
      <c r="C9" s="16" t="n">
        <v>18500</v>
      </c>
      <c r="D9" s="22" t="n">
        <v>1</v>
      </c>
      <c r="E9" s="2" t="inlineStr">
        <is>
          <t>as advised at last renewal</t>
        </is>
      </c>
      <c r="K9" s="19">
        <f>ROW()</f>
        <v>9</v>
      </c>
    </row>
    <row r="10">
      <c r="B10" s="20" t="inlineStr">
        <is>
          <t>2025 9 months</t>
        </is>
      </c>
      <c r="C10" s="16" t="n">
        <v>14400</v>
      </c>
      <c r="D10" s="22" t="n">
        <v>0.75</v>
      </c>
      <c r="E10" s="2" t="inlineStr">
        <is>
          <t>booked to 30.09</t>
        </is>
      </c>
      <c r="K10" s="19">
        <f>ROW()</f>
        <v>10</v>
      </c>
    </row>
    <row r="11">
      <c r="B11" s="20" t="inlineStr">
        <is>
          <t>2025 re-est</t>
        </is>
      </c>
      <c r="C11" s="16" t="n">
        <v>19200</v>
      </c>
      <c r="D11" s="22" t="n">
        <v>1</v>
      </c>
      <c r="E11" s="2" t="inlineStr">
        <is>
          <t>current view</t>
        </is>
      </c>
      <c r="K11" s="19">
        <f>ROW()</f>
        <v>11</v>
      </c>
    </row>
    <row r="12">
      <c r="B12" s="20" t="inlineStr">
        <is>
          <t>2026</t>
        </is>
      </c>
      <c r="C12" s="16" t="n">
        <v>20900</v>
      </c>
      <c r="D12" s="22" t="n">
        <v>1</v>
      </c>
      <c r="E12" s="2" t="inlineStr">
        <is>
          <t>renewal projection</t>
        </is>
      </c>
      <c r="K12" s="19">
        <f>ROW()</f>
        <v>12</v>
      </c>
    </row>
    <row r="13">
      <c r="B13" s="20" t="inlineStr">
        <is>
          <t>2024 actual</t>
        </is>
      </c>
      <c r="C13" s="16" t="n">
        <v>17800</v>
      </c>
      <c r="E13" s="2" t="inlineStr">
        <is>
          <t>covered by 01. History</t>
        </is>
      </c>
      <c r="F13" s="2" t="inlineStr">
        <is>
          <t>← selector empty: not extracted here</t>
        </is>
      </c>
    </row>
    <row r="15">
      <c r="A15" s="14" t="inlineStr">
        <is>
          <t>Info_1 = K</t>
        </is>
      </c>
    </row>
    <row r="16">
      <c r="A16" s="13" t="inlineStr">
        <is>
          <t>As at = 31.12.2025</t>
        </is>
      </c>
    </row>
    <row r="17">
      <c r="B17" s="2" t="inlineStr">
        <is>
          <t>No total row: est, 9 months and re-est are three views of one year, so a sum of them would mean nothing.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3" t="inlineStr">
        <is>
          <t>Section = Fire</t>
        </is>
      </c>
      <c r="B1" s="1" t="inlineStr">
        <is>
          <t>02. EPI Projections — transposed (same data, same result)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Premium basis = GNPI</t>
        </is>
      </c>
    </row>
    <row r="5">
      <c r="A5" s="14" t="inlineStr">
        <is>
          <t>Transpose_1</t>
        </is>
      </c>
    </row>
    <row r="6">
      <c r="A6" s="14" t="inlineStr">
        <is>
          <t>Header_1 = C</t>
        </is>
      </c>
    </row>
    <row r="7">
      <c r="A7" s="14" t="inlineStr">
        <is>
          <t>Info_1 = 14</t>
        </is>
      </c>
    </row>
    <row r="8">
      <c r="A8" s="13" t="inlineStr">
        <is>
          <t>H_Year basis = UW</t>
        </is>
      </c>
      <c r="B8" s="7" t="inlineStr">
        <is>
          <t>Period</t>
        </is>
      </c>
      <c r="C8" s="15" t="inlineStr">
        <is>
          <t>Year</t>
        </is>
      </c>
      <c r="D8" s="20" t="inlineStr">
        <is>
          <t>2025 est</t>
        </is>
      </c>
      <c r="E8" s="20" t="inlineStr">
        <is>
          <t>2025 9 months</t>
        </is>
      </c>
      <c r="F8" s="20" t="inlineStr">
        <is>
          <t>2025 re-est</t>
        </is>
      </c>
      <c r="G8" s="20" t="inlineStr">
        <is>
          <t>2026</t>
        </is>
      </c>
      <c r="H8" s="20" t="inlineStr">
        <is>
          <t>2024 actual</t>
        </is>
      </c>
    </row>
    <row r="9">
      <c r="A9" s="13" t="inlineStr">
        <is>
          <t>Share basis = 100%</t>
        </is>
      </c>
      <c r="B9" s="7" t="inlineStr">
        <is>
          <t>Share %</t>
        </is>
      </c>
      <c r="D9" s="22" t="n">
        <v>1</v>
      </c>
      <c r="E9" s="22" t="n">
        <v>0.75</v>
      </c>
      <c r="F9" s="22" t="n">
        <v>1</v>
      </c>
      <c r="G9" s="22" t="n">
        <v>1</v>
      </c>
      <c r="H9" s="22" t="n">
        <v>1</v>
      </c>
    </row>
    <row r="10">
      <c r="A10" s="13" t="inlineStr">
        <is>
          <t>As at = 31.12.2025</t>
        </is>
      </c>
      <c r="B10" s="7" t="inlineStr">
        <is>
          <t>EPI (net)</t>
        </is>
      </c>
      <c r="C10" s="15" t="inlineStr">
        <is>
          <t>EPI</t>
        </is>
      </c>
      <c r="D10" s="16" t="n">
        <v>18500</v>
      </c>
      <c r="E10" s="16" t="n">
        <v>14400</v>
      </c>
      <c r="F10" s="16" t="n">
        <v>19200</v>
      </c>
      <c r="G10" s="16" t="n">
        <v>20900</v>
      </c>
      <c r="H10" s="16" t="n">
        <v>17800</v>
      </c>
    </row>
    <row r="11">
      <c r="B11" s="7" t="inlineStr">
        <is>
          <t>Comment</t>
        </is>
      </c>
      <c r="D11" s="2" t="inlineStr">
        <is>
          <t>as advised at last renewal</t>
        </is>
      </c>
      <c r="E11" s="2" t="inlineStr">
        <is>
          <t>booked to 30.09</t>
        </is>
      </c>
      <c r="F11" s="2" t="inlineStr">
        <is>
          <t>current view</t>
        </is>
      </c>
      <c r="G11" s="2" t="inlineStr">
        <is>
          <t>renewal projection</t>
        </is>
      </c>
      <c r="H11" s="2" t="inlineStr">
        <is>
          <t>covered by 01. History</t>
        </is>
      </c>
    </row>
    <row r="14">
      <c r="C14" s="2" t="inlineStr">
        <is>
          <t>selector →</t>
        </is>
      </c>
      <c r="D14" s="19">
        <f>COLUMN()</f>
        <v>4</v>
      </c>
      <c r="E14" s="19">
        <f>COLUMN()</f>
        <v>5</v>
      </c>
      <c r="F14" s="19">
        <f>COLUMN()</f>
        <v>6</v>
      </c>
      <c r="G14" s="19">
        <f>COLUMN()</f>
        <v>7</v>
      </c>
    </row>
    <row r="16">
      <c r="B16" s="2" t="inlineStr">
        <is>
          <t>Column H (2024 actual) has no selector: not extracted here, because 01. History carries the actuals.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46" customWidth="1" min="7" max="7"/>
    <col width="10" customWidth="1" min="10" max="10"/>
  </cols>
  <sheetData>
    <row r="1">
      <c r="A1" s="13" t="inlineStr">
        <is>
          <t>Section = Fire</t>
        </is>
      </c>
      <c r="B1" s="1" t="inlineStr">
        <is>
          <t>03. Large Losses — individual claims above the threshold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Share basis = 100%</t>
        </is>
      </c>
    </row>
    <row r="5">
      <c r="A5" s="13" t="inlineStr">
        <is>
          <t>H_Year basis = UW</t>
        </is>
      </c>
    </row>
    <row r="6">
      <c r="A6" s="13" t="inlineStr">
        <is>
          <t>H_Loss basis = Incurred</t>
        </is>
      </c>
    </row>
    <row r="7">
      <c r="A7" s="13" t="inlineStr">
        <is>
          <t>Threshold = 500</t>
        </is>
      </c>
    </row>
    <row r="8">
      <c r="A8" s="13" t="inlineStr">
        <is>
          <t>Date format = ISO</t>
        </is>
      </c>
    </row>
    <row r="9">
      <c r="B9" s="7" t="inlineStr">
        <is>
          <t>Claim no.</t>
        </is>
      </c>
      <c r="C9" s="7" t="inlineStr">
        <is>
          <t>U/W Yr</t>
        </is>
      </c>
      <c r="D9" s="7" t="inlineStr">
        <is>
          <t>Description</t>
        </is>
      </c>
      <c r="E9" s="7" t="inlineStr">
        <is>
          <t>Gross incurred</t>
        </is>
      </c>
      <c r="F9" s="7" t="inlineStr">
        <is>
          <t>Occurred</t>
        </is>
      </c>
      <c r="G9" s="2" t="inlineStr">
        <is>
          <t>← source header, never read</t>
        </is>
      </c>
    </row>
    <row r="10">
      <c r="A10" s="14" t="inlineStr">
        <is>
          <t>Header_1</t>
        </is>
      </c>
      <c r="C10" s="15" t="inlineStr">
        <is>
          <t>Year</t>
        </is>
      </c>
      <c r="D10" s="15" t="inlineStr">
        <is>
          <t>Name of Loss</t>
        </is>
      </c>
      <c r="E10" s="15" t="inlineStr">
        <is>
          <t>Loss amount</t>
        </is>
      </c>
      <c r="F10" s="15" t="inlineStr">
        <is>
          <t>Date of Loss</t>
        </is>
      </c>
      <c r="G10" s="2" t="inlineStr">
        <is>
          <t>← extraction row: the claim number is not declared in 00</t>
        </is>
      </c>
    </row>
    <row r="11">
      <c r="B11" s="4" t="inlineStr">
        <is>
          <t>CL-2100</t>
        </is>
      </c>
      <c r="C11" s="20" t="inlineStr">
        <is>
          <t>2021</t>
        </is>
      </c>
      <c r="D11" s="4" t="inlineStr">
        <is>
          <t>Warehouse fire, Lyon</t>
        </is>
      </c>
      <c r="E11" s="16" t="n">
        <v>1850</v>
      </c>
      <c r="F11" s="23" t="n">
        <v>44269</v>
      </c>
      <c r="J11" s="19">
        <f>ROW()</f>
        <v>11</v>
      </c>
    </row>
    <row r="12">
      <c r="B12" s="4" t="inlineStr">
        <is>
          <t>CL-2101</t>
        </is>
      </c>
      <c r="C12" s="20" t="inlineStr">
        <is>
          <t>2021</t>
        </is>
      </c>
      <c r="D12" s="4" t="inlineStr">
        <is>
          <t>Machinery breakdown, Hamburg</t>
        </is>
      </c>
      <c r="E12" s="16" t="n">
        <v>920</v>
      </c>
      <c r="F12" s="23" t="n">
        <v>44441</v>
      </c>
      <c r="J12" s="19">
        <f>ROW()</f>
        <v>12</v>
      </c>
    </row>
    <row r="13">
      <c r="B13" s="4" t="inlineStr">
        <is>
          <t>CL-2102</t>
        </is>
      </c>
      <c r="C13" s="20" t="inlineStr">
        <is>
          <t>2023</t>
        </is>
      </c>
      <c r="D13" s="4" t="inlineStr">
        <is>
          <t>Factory fire, Rotterdam</t>
        </is>
      </c>
      <c r="E13" s="16" t="n">
        <v>3400</v>
      </c>
      <c r="F13" s="23" t="n">
        <v>44953</v>
      </c>
      <c r="J13" s="19">
        <f>ROW()</f>
        <v>13</v>
      </c>
    </row>
    <row r="14">
      <c r="B14" s="4" t="inlineStr">
        <is>
          <t>CL-2103</t>
        </is>
      </c>
      <c r="C14" s="20" t="inlineStr">
        <is>
          <t>2023</t>
        </is>
      </c>
      <c r="D14" s="4" t="inlineStr">
        <is>
          <t>Explosion, Antwerp</t>
        </is>
      </c>
      <c r="E14" s="16" t="n">
        <v>1150</v>
      </c>
      <c r="F14" s="23" t="n">
        <v>45092</v>
      </c>
      <c r="J14" s="19">
        <f>ROW()</f>
        <v>14</v>
      </c>
    </row>
    <row r="15">
      <c r="B15" s="4" t="inlineStr">
        <is>
          <t>CL-2104</t>
        </is>
      </c>
      <c r="C15" s="20" t="inlineStr">
        <is>
          <t>2023</t>
        </is>
      </c>
      <c r="D15" s="4" t="inlineStr">
        <is>
          <t>Storm damage, Bremen</t>
        </is>
      </c>
      <c r="E15" s="16" t="n">
        <v>780</v>
      </c>
      <c r="F15" s="23" t="n">
        <v>45238</v>
      </c>
      <c r="J15" s="19">
        <f>ROW()</f>
        <v>15</v>
      </c>
    </row>
    <row r="16">
      <c r="B16" s="4" t="inlineStr">
        <is>
          <t>CL-2105</t>
        </is>
      </c>
      <c r="C16" s="20" t="inlineStr">
        <is>
          <t>2024</t>
        </is>
      </c>
      <c r="D16" s="4" t="inlineStr">
        <is>
          <t>Chemical plant fire, Basel</t>
        </is>
      </c>
      <c r="E16" s="16" t="n">
        <v>2600</v>
      </c>
      <c r="F16" s="23" t="n">
        <v>45431</v>
      </c>
      <c r="J16" s="19">
        <f>ROW()</f>
        <v>16</v>
      </c>
    </row>
    <row r="17">
      <c r="B17" s="4" t="inlineStr">
        <is>
          <t>CL-2106</t>
        </is>
      </c>
      <c r="C17" s="20" t="inlineStr">
        <is>
          <t>2025</t>
        </is>
      </c>
      <c r="D17" s="4" t="inlineStr">
        <is>
          <t>Cold store collapse, Milan</t>
        </is>
      </c>
      <c r="E17" s="16" t="n">
        <v>1420</v>
      </c>
      <c r="F17" s="23" t="n">
        <v>45699</v>
      </c>
      <c r="J17" s="19">
        <f>ROW()</f>
        <v>17</v>
      </c>
    </row>
    <row r="18">
      <c r="B18" s="4" t="inlineStr">
        <is>
          <t>CL-2107</t>
        </is>
      </c>
      <c r="C18" s="20" t="inlineStr">
        <is>
          <t>2025</t>
        </is>
      </c>
      <c r="D18" s="4" t="inlineStr">
        <is>
          <t>Transformer fire, Porto</t>
        </is>
      </c>
      <c r="E18" s="16" t="n">
        <v>640</v>
      </c>
      <c r="F18" s="23" t="n">
        <v>45892</v>
      </c>
      <c r="J18" s="19">
        <f>ROW()</f>
        <v>18</v>
      </c>
    </row>
    <row r="19">
      <c r="C19" s="8" t="inlineStr">
        <is>
          <t>Total</t>
        </is>
      </c>
      <c r="E19" s="21">
        <f>SUM(E11:E18)</f>
        <v>12760</v>
      </c>
      <c r="G19" s="2" t="inlineStr">
        <is>
          <t>← selector empty: excluded, reused as control</t>
        </is>
      </c>
    </row>
    <row r="21">
      <c r="A21" s="14" t="inlineStr">
        <is>
          <t>Info_1 = J</t>
        </is>
      </c>
    </row>
    <row r="22">
      <c r="A22" s="13" t="inlineStr">
        <is>
          <t>As at = 31.12.2025</t>
        </is>
      </c>
    </row>
    <row r="24">
      <c r="B24" s="2" t="inlineStr">
        <is>
          <t>2022 has no large loss. The annual table in step 2 shows it as 0, because an absent year reads as 'no data' rather than 'nothing happened'.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2026-08-17T07:49:59Z</dcterms:created>
  <dcterms:modified xsi:type="dcterms:W3CDTF">2026-08-17T07:49:59Z</dcterms:modified>
</cp:coreProperties>
</file>