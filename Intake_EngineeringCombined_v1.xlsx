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  <sheet name="05. Risk Pro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5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The cedent's book split — sums insured, one block per section</t>
        </is>
      </c>
      <c r="E21" s="4" t="inlineStr">
        <is>
          <t>implemented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Rate change history — optional</t>
        </is>
      </c>
      <c r="E22" s="8" t="inlineStr">
        <is>
          <t>outstanding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9">
      <c r="B89" s="2" t="inlineStr">
        <is>
          <t>Within one year the suffixes sort in this order, not alphabetically. A bare year sorts first; an unlisted suffix sorts last.</t>
        </is>
      </c>
    </row>
    <row r="91">
      <c r="B91" s="3" t="inlineStr">
        <is>
          <t>⟦RULES⟧</t>
        </is>
      </c>
    </row>
    <row r="92">
      <c r="B92" s="7" t="inlineStr">
        <is>
          <t>ID</t>
        </is>
      </c>
      <c r="C92" s="7" t="inlineStr">
        <is>
          <t>Left</t>
        </is>
      </c>
      <c r="D92" s="7" t="inlineStr">
        <is>
          <t>Rel</t>
        </is>
      </c>
      <c r="E92" s="7" t="inlineStr">
        <is>
          <t>Right</t>
        </is>
      </c>
      <c r="F92" s="7" t="inlineStr">
        <is>
          <t>Tolerance</t>
        </is>
      </c>
      <c r="G92" s="7" t="inlineStr">
        <is>
          <t>Severity</t>
        </is>
      </c>
      <c r="H92" s="7" t="inlineStr">
        <is>
          <t>Scope</t>
        </is>
      </c>
      <c r="I92" s="7" t="inlineStr">
        <is>
          <t>Note</t>
        </is>
      </c>
    </row>
    <row r="93">
      <c r="B93" s="7" t="inlineStr">
        <is>
          <t>R-05</t>
        </is>
      </c>
      <c r="C93" s="12" t="inlineStr">
        <is>
          <t>01.Premium@{N} 9 months</t>
        </is>
      </c>
      <c r="D93" s="7" t="inlineStr">
        <is>
          <t>=</t>
        </is>
      </c>
      <c r="E93" s="12" t="inlineStr">
        <is>
          <t>02.EPI@{N} 9 months</t>
        </is>
      </c>
      <c r="F93" s="4" t="n">
        <v>1</v>
      </c>
      <c r="G93" s="4" t="inlineStr">
        <is>
          <t>error</t>
        </is>
      </c>
      <c r="H93" s="5" t="inlineStr">
        <is>
          <t>all</t>
        </is>
      </c>
      <c r="I93" s="2" t="inlineStr">
        <is>
          <t>same nine months reported in two sheets</t>
        </is>
      </c>
    </row>
    <row r="94">
      <c r="B94" s="7" t="inlineStr">
        <is>
          <t>R-06</t>
        </is>
      </c>
      <c r="C94" s="12" t="inlineStr">
        <is>
          <t>01.Premium@{N}</t>
        </is>
      </c>
      <c r="D94" s="7" t="inlineStr">
        <is>
          <t>=</t>
        </is>
      </c>
      <c r="E94" s="12" t="inlineStr">
        <is>
          <t>02.EPI@{N} re-est</t>
        </is>
      </c>
      <c r="F94" s="4" t="n">
        <v>1</v>
      </c>
      <c r="G94" s="4" t="inlineStr">
        <is>
          <t>error</t>
        </is>
      </c>
      <c r="H94" s="5" t="inlineStr">
        <is>
          <t>all</t>
        </is>
      </c>
      <c r="I94" s="2" t="inlineStr">
        <is>
          <t>a full-year N in History is an estimate, not an actual</t>
        </is>
      </c>
    </row>
    <row r="95">
      <c r="B95" s="7" t="inlineStr">
        <is>
          <t>R-07</t>
        </is>
      </c>
      <c r="C95" s="12" t="inlineStr">
        <is>
          <t>02.EPI@{N} re-est</t>
        </is>
      </c>
      <c r="D95" s="7" t="inlineStr">
        <is>
          <t>&gt;=</t>
        </is>
      </c>
      <c r="E95" s="12" t="inlineStr">
        <is>
          <t>02.EPI@{N} 9 months</t>
        </is>
      </c>
      <c r="F95" s="4" t="n">
        <v>0</v>
      </c>
      <c r="G95" s="4" t="inlineStr">
        <is>
          <t>error</t>
        </is>
      </c>
      <c r="H95" s="5" t="inlineStr">
        <is>
          <t>all</t>
        </is>
      </c>
      <c r="I95" s="2" t="inlineStr">
        <is>
          <t>premium accrues; a re-estimate cannot fall below what is booked</t>
        </is>
      </c>
    </row>
    <row r="96">
      <c r="B96" s="7" t="inlineStr">
        <is>
          <t>R-01</t>
        </is>
      </c>
      <c r="C96" s="12" t="inlineStr">
        <is>
          <t>SUM(03.Loss amount@{Y})</t>
        </is>
      </c>
      <c r="D96" s="7" t="inlineStr">
        <is>
          <t>&lt;=</t>
        </is>
      </c>
      <c r="E96" s="12" t="inlineStr">
        <is>
          <t>01.Incurred Losses@{Y}</t>
        </is>
      </c>
      <c r="F96" s="4" t="n">
        <v>1</v>
      </c>
      <c r="G96" s="4" t="inlineStr">
        <is>
          <t>error</t>
        </is>
      </c>
      <c r="H96" s="5" t="inlineStr">
        <is>
          <t>per risk</t>
        </is>
      </c>
      <c r="I96" s="2" t="inlineStr">
        <is>
          <t>large losses cannot exceed total incurred for the same year</t>
        </is>
      </c>
    </row>
    <row r="97">
      <c r="B97" s="7" t="inlineStr">
        <is>
          <t>R-02</t>
        </is>
      </c>
      <c r="C97" s="12" t="inlineStr">
        <is>
          <t>SUM(04.Loss amount@{Y})</t>
        </is>
      </c>
      <c r="D97" s="7" t="inlineStr">
        <is>
          <t>&lt;=</t>
        </is>
      </c>
      <c r="E97" s="12" t="inlineStr">
        <is>
          <t>01.Incurred Losses@{Y}</t>
        </is>
      </c>
      <c r="F97" s="4" t="n">
        <v>1</v>
      </c>
      <c r="G97" s="4" t="inlineStr">
        <is>
          <t>error</t>
        </is>
      </c>
      <c r="H97" s="5" t="inlineStr">
        <is>
          <t>cat</t>
        </is>
      </c>
      <c r="I97" s="2" t="inlineStr">
        <is>
          <t>cat losses cannot exceed total incurred for the same year</t>
        </is>
      </c>
    </row>
    <row r="98">
      <c r="B98" s="7" t="inlineStr">
        <is>
          <t>R-09</t>
        </is>
      </c>
      <c r="C98" s="12" t="inlineStr">
        <is>
          <t>01.Year basis</t>
        </is>
      </c>
      <c r="D98" s="7" t="inlineStr">
        <is>
          <t>=</t>
        </is>
      </c>
      <c r="E98" s="12" t="inlineStr">
        <is>
          <t>03.Year basis</t>
        </is>
      </c>
      <c r="F98" s="4" t="n">
        <v>0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history and large losses must be on the same year basis</t>
        </is>
      </c>
    </row>
    <row r="99">
      <c r="B99" s="7" t="inlineStr">
        <is>
          <t>R-10</t>
        </is>
      </c>
      <c r="C99" s="12" t="inlineStr">
        <is>
          <t>01.Year basis</t>
        </is>
      </c>
      <c r="D99" s="7" t="inlineStr">
        <is>
          <t>=</t>
        </is>
      </c>
      <c r="E99" s="12" t="inlineStr">
        <is>
          <t>04.Year basis</t>
        </is>
      </c>
      <c r="F99" s="4" t="n">
        <v>0</v>
      </c>
      <c r="G99" s="4" t="inlineStr">
        <is>
          <t>error</t>
        </is>
      </c>
      <c r="H99" s="5" t="inlineStr">
        <is>
          <t>cat</t>
        </is>
      </c>
      <c r="I99" s="2" t="inlineStr">
        <is>
          <t>history and cat losses must be on the same year basis</t>
        </is>
      </c>
    </row>
    <row r="101">
      <c r="B101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3">
      <c r="B103" s="3" t="inlineStr">
        <is>
          <t>⟦MARKERS⟧  —  written in column A of every other sheet</t>
        </is>
      </c>
    </row>
    <row r="104">
      <c r="B104" s="7" t="inlineStr">
        <is>
          <t>Marker</t>
        </is>
      </c>
      <c r="C104" s="7" t="inlineStr">
        <is>
          <t>Meaning</t>
        </is>
      </c>
    </row>
    <row r="105">
      <c r="B105" s="13" t="inlineStr">
        <is>
          <t>Header_i</t>
        </is>
      </c>
      <c r="C105" s="4" t="inlineStr">
        <is>
          <t>row-wise: this row is block i's extraction row (declared labels only)</t>
        </is>
      </c>
    </row>
    <row r="106">
      <c r="B106" s="13" t="inlineStr">
        <is>
          <t>Header_i = &lt;col&gt;</t>
        </is>
      </c>
      <c r="C106" s="4" t="inlineStr">
        <is>
          <t>transposed: this column is block i's extraction column</t>
        </is>
      </c>
    </row>
    <row r="107">
      <c r="B107" s="13" t="inlineStr">
        <is>
          <t>Info_i = &lt;col&gt;</t>
        </is>
      </c>
      <c r="C107" s="4" t="inlineStr">
        <is>
          <t>row-wise: this column holds the record selectors, =ROW()</t>
        </is>
      </c>
    </row>
    <row r="108">
      <c r="B108" s="13" t="inlineStr">
        <is>
          <t>Info_i = &lt;row&gt;</t>
        </is>
      </c>
      <c r="C108" s="4" t="inlineStr">
        <is>
          <t>transposed: this row holds the record selectors, =COLUMN()</t>
        </is>
      </c>
    </row>
    <row r="109">
      <c r="B109" s="13" t="inlineStr">
        <is>
          <t>Transpose_i</t>
        </is>
      </c>
      <c r="C109" s="4" t="inlineStr">
        <is>
          <t>block i is transposed</t>
        </is>
      </c>
    </row>
    <row r="110">
      <c r="B110" s="13" t="inlineStr">
        <is>
          <t>Dataset_i = &lt;key&gt;</t>
        </is>
      </c>
      <c r="C110" s="4" t="inlineStr">
        <is>
          <t>which dataset block i is — defaults to the sheet-name match</t>
        </is>
      </c>
    </row>
    <row r="111">
      <c r="B111" s="13" t="inlineStr">
        <is>
          <t>Section_i = &lt;name&gt;</t>
        </is>
      </c>
      <c r="C111" s="4" t="inlineStr">
        <is>
          <t>which section of the treaty block i belongs to</t>
        </is>
      </c>
    </row>
    <row r="112">
      <c r="B112" s="13" t="inlineStr">
        <is>
          <t>&lt;Attribute&gt; = &lt;value&gt;</t>
        </is>
      </c>
      <c r="C112" s="4" t="inlineStr">
        <is>
          <t>an attribute of the sheet (unsuffixed) or block i (suffixed _i)</t>
        </is>
      </c>
    </row>
    <row r="113">
      <c r="B113" s="13" t="inlineStr">
        <is>
          <t>H_&lt;Attribute&gt; = &lt;val&gt;</t>
        </is>
      </c>
      <c r="C113" s="4" t="inlineStr">
        <is>
          <t>the same, declared as a hypothesis — raises a query</t>
        </is>
      </c>
    </row>
    <row r="115">
      <c r="B115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A10" s="14" t="inlineStr">
        <is>
          <t>Occurrence year from = Event Date</t>
        </is>
      </c>
    </row>
    <row r="11">
      <c r="B11" s="15" t="inlineStr">
        <is>
          <t>Claim no.</t>
        </is>
      </c>
      <c r="C11" s="15" t="inlineStr">
        <is>
          <t>Cat code</t>
        </is>
      </c>
      <c r="D11" s="15" t="inlineStr">
        <is>
          <t>U/W Yr</t>
        </is>
      </c>
      <c r="E11" s="15" t="inlineStr">
        <is>
          <t>Description</t>
        </is>
      </c>
      <c r="F11" s="15" t="inlineStr">
        <is>
          <t>Gross incurred</t>
        </is>
      </c>
      <c r="G11" s="15" t="inlineStr">
        <is>
          <t>From</t>
        </is>
      </c>
      <c r="H11" s="15" t="inlineStr">
        <is>
          <t>To</t>
        </is>
      </c>
      <c r="I11" s="15" t="inlineStr">
        <is>
          <t>Claims</t>
        </is>
      </c>
      <c r="K11" s="2" t="inlineStr">
        <is>
          <t>← source header, never read</t>
        </is>
      </c>
    </row>
    <row r="12">
      <c r="A12" s="16" t="inlineStr">
        <is>
          <t>Header_1</t>
        </is>
      </c>
      <c r="D12" s="23" t="inlineStr">
        <is>
          <t>Year</t>
        </is>
      </c>
      <c r="E12" s="23" t="inlineStr">
        <is>
          <t>Name of Loss</t>
        </is>
      </c>
      <c r="F12" s="23" t="inlineStr">
        <is>
          <t>Loss amount</t>
        </is>
      </c>
      <c r="G12" s="23" t="inlineStr">
        <is>
          <t>Date of Loss</t>
        </is>
      </c>
      <c r="K12" s="2" t="inlineStr">
        <is>
          <t>← extraction row: large losses</t>
        </is>
      </c>
    </row>
    <row r="13">
      <c r="A13" s="14" t="inlineStr">
        <is>
          <t>Dataset_1 = 03 Large</t>
        </is>
      </c>
    </row>
    <row r="14">
      <c r="A14" s="16" t="inlineStr">
        <is>
          <t>Header_2</t>
        </is>
      </c>
      <c r="C14" s="24" t="inlineStr">
        <is>
          <t>Event ID</t>
        </is>
      </c>
      <c r="D14" s="24" t="inlineStr">
        <is>
          <t>Year</t>
        </is>
      </c>
      <c r="E14" s="24" t="inlineStr">
        <is>
          <t>Event Name</t>
        </is>
      </c>
      <c r="F14" s="24" t="inlineStr">
        <is>
          <t>Loss amount</t>
        </is>
      </c>
      <c r="G14" s="24" t="inlineStr">
        <is>
          <t>Event Date</t>
        </is>
      </c>
      <c r="H14" s="24" t="inlineStr">
        <is>
          <t>Event End Date</t>
        </is>
      </c>
      <c r="I14" s="24" t="inlineStr">
        <is>
          <t>Number of Claims</t>
        </is>
      </c>
      <c r="K14" s="2" t="inlineStr">
        <is>
          <t>← extraction row: cat events</t>
        </is>
      </c>
    </row>
    <row r="15">
      <c r="A15" s="14" t="inlineStr">
        <is>
          <t>Dataset_2 = 04 Cat</t>
        </is>
      </c>
    </row>
    <row r="16">
      <c r="B16" s="4" t="inlineStr">
        <is>
          <t>CL-2201</t>
        </is>
      </c>
      <c r="D16" s="18" t="inlineStr">
        <is>
          <t>2021</t>
        </is>
      </c>
      <c r="E16" s="4" t="inlineStr">
        <is>
          <t>Turbine erection collapse, Gdansk</t>
        </is>
      </c>
      <c r="F16" s="19" t="n">
        <v>1420</v>
      </c>
      <c r="G16" s="25" t="n">
        <v>44294</v>
      </c>
      <c r="J16" s="12">
        <f>IF($C16="",ROW(),"")</f>
        <v>16</v>
      </c>
      <c r="K16" s="12" t="n"/>
    </row>
    <row r="17">
      <c r="C17" s="4" t="inlineStr">
        <is>
          <t>EV-301</t>
        </is>
      </c>
      <c r="D17" s="18" t="inlineStr">
        <is>
          <t>2021</t>
        </is>
      </c>
      <c r="E17" s="4" t="inlineStr">
        <is>
          <t>Flood, Saxony</t>
        </is>
      </c>
      <c r="F17" s="19" t="n">
        <v>1150</v>
      </c>
      <c r="G17" s="25" t="n">
        <v>44391</v>
      </c>
      <c r="H17" s="25" t="n">
        <v>44395</v>
      </c>
      <c r="I17" s="19" t="n">
        <v>24</v>
      </c>
      <c r="J17" s="12" t="n"/>
      <c r="K17" s="12">
        <f>IF($C17&lt;&gt;"",ROW(),"")</f>
        <v>17</v>
      </c>
    </row>
    <row r="18">
      <c r="B18" s="4" t="inlineStr">
        <is>
          <t>CL-2202</t>
        </is>
      </c>
      <c r="D18" s="18" t="inlineStr">
        <is>
          <t>2023</t>
        </is>
      </c>
      <c r="E18" s="4" t="inlineStr">
        <is>
          <t>Tunnel boring machine damage, Oslo</t>
        </is>
      </c>
      <c r="F18" s="19" t="n">
        <v>2310</v>
      </c>
      <c r="G18" s="25" t="n">
        <v>45007</v>
      </c>
      <c r="J18" s="12">
        <f>IF($C18="",ROW(),"")</f>
        <v>18</v>
      </c>
      <c r="K18" s="12" t="n"/>
    </row>
    <row r="19">
      <c r="B19" s="4" t="inlineStr">
        <is>
          <t>CL-2203</t>
        </is>
      </c>
      <c r="D19" s="18" t="inlineStr">
        <is>
          <t>2023</t>
        </is>
      </c>
      <c r="E19" s="4" t="inlineStr">
        <is>
          <t>Crane failure, Rotterdam yard</t>
        </is>
      </c>
      <c r="F19" s="19" t="n">
        <v>860</v>
      </c>
      <c r="G19" s="25" t="n">
        <v>45203</v>
      </c>
      <c r="J19" s="12">
        <f>IF($C19="",ROW(),"")</f>
        <v>19</v>
      </c>
      <c r="K19" s="12" t="n"/>
    </row>
    <row r="20">
      <c r="C20" s="4" t="inlineStr">
        <is>
          <t>EV-302</t>
        </is>
      </c>
      <c r="D20" s="18" t="inlineStr">
        <is>
          <t>2023</t>
        </is>
      </c>
      <c r="E20" s="4" t="inlineStr">
        <is>
          <t>Hailstorm, Po Valley</t>
        </is>
      </c>
      <c r="F20" s="19" t="n">
        <v>900</v>
      </c>
      <c r="G20" s="25" t="n">
        <v>45465</v>
      </c>
      <c r="H20" s="25" t="n">
        <v>45465</v>
      </c>
      <c r="I20" s="19" t="n">
        <v>18</v>
      </c>
      <c r="J20" s="12" t="n"/>
      <c r="K20" s="12">
        <f>IF($C20&lt;&gt;"",ROW(),"")</f>
        <v>20</v>
      </c>
    </row>
    <row r="21">
      <c r="C21" s="4" t="inlineStr">
        <is>
          <t>EV-302</t>
        </is>
      </c>
      <c r="D21" s="18" t="inlineStr">
        <is>
          <t>2024</t>
        </is>
      </c>
      <c r="E21" s="4" t="inlineStr">
        <is>
          <t>Hailstorm, Po Valley</t>
        </is>
      </c>
      <c r="F21" s="19" t="n">
        <v>2600</v>
      </c>
      <c r="G21" s="25" t="n">
        <v>45465</v>
      </c>
      <c r="H21" s="25" t="n">
        <v>45465</v>
      </c>
      <c r="I21" s="19" t="n">
        <v>41</v>
      </c>
      <c r="J21" s="12" t="n"/>
      <c r="K21" s="12">
        <f>IF($C21&lt;&gt;"",ROW(),"")</f>
        <v>21</v>
      </c>
    </row>
    <row r="22">
      <c r="B22" s="4" t="inlineStr">
        <is>
          <t>CL-2204</t>
        </is>
      </c>
      <c r="D22" s="18" t="inlineStr">
        <is>
          <t>2024</t>
        </is>
      </c>
      <c r="E22" s="4" t="inlineStr">
        <is>
          <t>Generator fire, Valencia plant</t>
        </is>
      </c>
      <c r="F22" s="19" t="n">
        <v>1975</v>
      </c>
      <c r="G22" s="25" t="n">
        <v>45503</v>
      </c>
      <c r="J22" s="12">
        <f>IF($C22="",ROW(),"")</f>
        <v>22</v>
      </c>
      <c r="K22" s="12" t="n"/>
    </row>
    <row r="23">
      <c r="B23" s="4" t="inlineStr">
        <is>
          <t>CL-2205</t>
        </is>
      </c>
      <c r="D23" s="18" t="inlineStr">
        <is>
          <t>2025</t>
        </is>
      </c>
      <c r="E23" s="4" t="inlineStr">
        <is>
          <t>Cable laying barge grounding, Kiel</t>
        </is>
      </c>
      <c r="F23" s="19" t="n">
        <v>1180</v>
      </c>
      <c r="G23" s="25" t="n">
        <v>45789</v>
      </c>
      <c r="J23" s="12">
        <f>IF($C23="",ROW(),"")</f>
        <v>23</v>
      </c>
      <c r="K23" s="12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6" t="inlineStr">
        <is>
          <t>Info_1 = J</t>
        </is>
      </c>
    </row>
    <row r="27">
      <c r="A27" s="16" t="inlineStr">
        <is>
          <t>Info_2 = K</t>
        </is>
      </c>
    </row>
    <row r="28">
      <c r="A28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2026-08-20T12:01:53Z</dcterms:created>
  <dcterms:modified xsi:type="dcterms:W3CDTF">2026-08-20T12:01:53Z</dcterms:modified>
</cp:coreProperties>
</file>