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  <sheet name="03. Large Losses" sheetId="6" state="visible" r:id="rId6"/>
    <sheet name="05. Risk Profi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0" borderId="0" pivotButton="0" quotePrefix="0" xfId="0"/>
    <xf numFmtId="0" fontId="6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 04 is implemented, though this Fire-only pack carries no cat sheet.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Loss basis</t>
        </is>
      </c>
      <c r="U10" s="6" t="inlineStr">
        <is>
          <t>PF transfer</t>
        </is>
      </c>
      <c r="V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Premium basis</t>
        </is>
      </c>
      <c r="T11" s="6" t="inlineStr">
        <is>
          <t>As at</t>
        </is>
      </c>
    </row>
    <row r="13">
      <c r="B13" s="3" t="inlineStr">
        <is>
          <t>⟦INVENTORY⟧</t>
        </is>
      </c>
    </row>
    <row r="14">
      <c r="B14" s="7" t="inlineStr">
        <is>
          <t>Role</t>
        </is>
      </c>
      <c r="C14" s="7" t="inlineStr">
        <is>
          <t>Sheet</t>
        </is>
      </c>
      <c r="D14" s="7" t="inlineStr">
        <is>
          <t>Holds</t>
        </is>
      </c>
      <c r="E14" s="7" t="inlineStr">
        <is>
          <t>State</t>
        </is>
      </c>
    </row>
    <row r="15">
      <c r="B15" s="4" t="inlineStr">
        <is>
          <t>01</t>
        </is>
      </c>
      <c r="C15" s="4" t="inlineStr">
        <is>
          <t>History</t>
        </is>
      </c>
      <c r="D15" s="4" t="inlineStr">
        <is>
          <t>Premium and loss history per section</t>
        </is>
      </c>
      <c r="E15" s="4" t="inlineStr">
        <is>
          <t>implemented</t>
        </is>
      </c>
    </row>
    <row r="16">
      <c r="B16" s="4" t="inlineStr">
        <is>
          <t>02</t>
        </is>
      </c>
      <c r="C16" s="4" t="inlineStr">
        <is>
          <t>EPI Projections</t>
        </is>
      </c>
      <c r="D16" s="4" t="inlineStr">
        <is>
          <t>Estimated premium income, N and N+1</t>
        </is>
      </c>
      <c r="E16" s="4" t="inlineStr">
        <is>
          <t>implemented</t>
        </is>
      </c>
    </row>
    <row r="17">
      <c r="B17" s="4" t="inlineStr">
        <is>
          <t>03</t>
        </is>
      </c>
      <c r="C17" s="4" t="inlineStr">
        <is>
          <t>Large Losses</t>
        </is>
      </c>
      <c r="D17" s="4" t="inlineStr">
        <is>
          <t>Individual large claims, per-risk sections</t>
        </is>
      </c>
      <c r="E17" s="4" t="inlineStr">
        <is>
          <t>implemented</t>
        </is>
      </c>
    </row>
    <row r="18">
      <c r="B18" s="4" t="inlineStr">
        <is>
          <t>04</t>
        </is>
      </c>
      <c r="C18" s="4" t="inlineStr">
        <is>
          <t>Cat Losses</t>
        </is>
      </c>
      <c r="D18" s="4" t="inlineStr">
        <is>
          <t>Catastrophe events, cat sections</t>
        </is>
      </c>
      <c r="E18" s="4" t="inlineStr">
        <is>
          <t>implemented</t>
        </is>
      </c>
    </row>
    <row r="19">
      <c r="B19" s="4" t="inlineStr">
        <is>
          <t>05</t>
        </is>
      </c>
      <c r="C19" s="4" t="inlineStr">
        <is>
          <t>Risk Profiles</t>
        </is>
      </c>
      <c r="D19" s="4" t="inlineStr">
        <is>
          <t>Banded exposure — the per-risk rating basis</t>
        </is>
      </c>
      <c r="E19" s="4" t="inlineStr">
        <is>
          <t>implemented</t>
        </is>
      </c>
    </row>
    <row r="20">
      <c r="B20" s="4" t="inlineStr">
        <is>
          <t>06</t>
        </is>
      </c>
      <c r="C20" s="4" t="inlineStr">
        <is>
          <t>EQ Aggs</t>
        </is>
      </c>
      <c r="D20" s="4" t="inlineStr">
        <is>
          <t>Earthquake sums insured per cat zone</t>
        </is>
      </c>
      <c r="E20" s="4" t="inlineStr">
        <is>
          <t>implemented</t>
        </is>
      </c>
    </row>
    <row r="21">
      <c r="B21" s="4" t="inlineStr">
        <is>
          <t>07</t>
        </is>
      </c>
      <c r="C21" s="4" t="inlineStr">
        <is>
          <t>Wind Aggs</t>
        </is>
      </c>
      <c r="D21" s="4" t="inlineStr">
        <is>
          <t>Windstorm sums insured per cat zone</t>
        </is>
      </c>
      <c r="E21" s="4" t="inlineStr">
        <is>
          <t>implemented</t>
        </is>
      </c>
    </row>
    <row r="22">
      <c r="B22" s="4" t="inlineStr">
        <is>
          <t>08</t>
        </is>
      </c>
      <c r="C22" s="4" t="inlineStr">
        <is>
          <t>Splits</t>
        </is>
      </c>
      <c r="D22" s="4" t="inlineStr">
        <is>
          <t>The cedent's book split — sums insured, one block per section</t>
        </is>
      </c>
      <c r="E22" s="4" t="inlineStr">
        <is>
          <t>implemented</t>
        </is>
      </c>
    </row>
    <row r="23">
      <c r="B23" s="4" t="inlineStr">
        <is>
          <t>09</t>
        </is>
      </c>
      <c r="C23" s="4" t="inlineStr">
        <is>
          <t>Rate Development</t>
        </is>
      </c>
      <c r="D23" s="4" t="inlineStr">
        <is>
          <t>The rate change a submission claims — the UW's own sheet</t>
        </is>
      </c>
      <c r="E23" s="4" t="inlineStr">
        <is>
          <t>implemented</t>
        </is>
      </c>
    </row>
    <row r="24">
      <c r="B24" s="4" t="inlineStr">
        <is>
          <t>10</t>
        </is>
      </c>
      <c r="C24" s="4" t="inlineStr">
        <is>
          <t>Triangles</t>
        </is>
      </c>
      <c r="D24" s="4" t="inlineStr">
        <is>
          <t>Loss development triangles</t>
        </is>
      </c>
      <c r="E24" s="8" t="inlineStr">
        <is>
          <t>outstanding</t>
        </is>
      </c>
    </row>
    <row r="25">
      <c r="B25" s="4" t="inlineStr">
        <is>
          <t>11</t>
        </is>
      </c>
      <c r="C25" s="4" t="inlineStr">
        <is>
          <t>Exchange rates</t>
        </is>
      </c>
      <c r="D25" s="4" t="inlineStr">
        <is>
          <t>FX rates for conversion between currencies</t>
        </is>
      </c>
      <c r="E25" s="8" t="inlineStr">
        <is>
          <t>outstanding</t>
        </is>
      </c>
    </row>
    <row r="26">
      <c r="B26" s="4" t="inlineStr">
        <is>
          <t>20</t>
        </is>
      </c>
      <c r="C26" s="4" t="inlineStr">
        <is>
          <t>Summary</t>
        </is>
      </c>
      <c r="D26" s="4" t="inlineStr">
        <is>
          <t>Collected step-2 blocks — written, never read</t>
        </is>
      </c>
      <c r="E26" s="8" t="inlineStr">
        <is>
          <t>outstanding</t>
        </is>
      </c>
    </row>
    <row r="28">
      <c r="B28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0">
      <c r="B30" s="3" t="inlineStr">
        <is>
          <t>⟦SECTIONS⟧</t>
        </is>
      </c>
    </row>
    <row r="31">
      <c r="B31" s="7" t="inlineStr">
        <is>
          <t>Section</t>
        </is>
      </c>
      <c r="C31" s="7" t="inlineStr">
        <is>
          <t>Kind</t>
        </is>
      </c>
      <c r="D31" s="7" t="inlineStr">
        <is>
          <t>Datasets</t>
        </is>
      </c>
    </row>
    <row r="32">
      <c r="B32" s="6" t="inlineStr">
        <is>
          <t>Fire</t>
        </is>
      </c>
      <c r="C32" s="5" t="inlineStr">
        <is>
          <t>per risk</t>
        </is>
      </c>
      <c r="D32" s="4" t="inlineStr">
        <is>
          <t>01, 02, 03, 05</t>
        </is>
      </c>
    </row>
    <row r="34">
      <c r="B34" s="2" t="inlineStr">
        <is>
          <t>One per-risk section: a Fire treaty. Large losses (03) apply; cat losses (04) do not, so rules scoped 'cat' are not applicable.</t>
        </is>
      </c>
    </row>
    <row r="36">
      <c r="B36" s="3" t="inlineStr">
        <is>
          <t>⟦GLOBAL⟧</t>
        </is>
      </c>
    </row>
    <row r="37">
      <c r="B37" s="7" t="inlineStr">
        <is>
          <t>Attribute</t>
        </is>
      </c>
      <c r="C37" s="7" t="inlineStr">
        <is>
          <t>Value</t>
        </is>
      </c>
    </row>
    <row r="38">
      <c r="B38" s="4" t="inlineStr">
        <is>
          <t>Actual year</t>
        </is>
      </c>
      <c r="C38" s="9" t="n">
        <v>2025</v>
      </c>
    </row>
    <row r="39">
      <c r="B39" s="4" t="inlineStr">
        <is>
          <t>Treaty type</t>
        </is>
      </c>
      <c r="C39" s="6" t="inlineStr">
        <is>
          <t>Fire</t>
        </is>
      </c>
    </row>
    <row r="40">
      <c r="B40" s="4" t="inlineStr">
        <is>
          <t>Cedent</t>
        </is>
      </c>
      <c r="C40" s="6" t="inlineStr">
        <is>
          <t>Example Insurance SA</t>
        </is>
      </c>
    </row>
    <row r="41">
      <c r="B41" s="4" t="inlineStr">
        <is>
          <t>Treaty</t>
        </is>
      </c>
      <c r="C41" s="6" t="inlineStr">
        <is>
          <t>Property per Risk XL</t>
        </is>
      </c>
    </row>
    <row r="42">
      <c r="B42" s="4" t="inlineStr">
        <is>
          <t>Loss share warning</t>
        </is>
      </c>
      <c r="C42" s="10" t="n">
        <v>0.2</v>
      </c>
    </row>
    <row r="44">
      <c r="B44" s="2" t="inlineStr">
        <is>
          <t>Actual year is N: the expiring year. The renewal being underwritten is N+1. Sheet attributes override these; block attributes override the sheet. Loss share warning is the point above which a year's declared losses are flagged (§10.3).</t>
        </is>
      </c>
    </row>
    <row r="46">
      <c r="B46" s="3" t="inlineStr">
        <is>
          <t>⟦TYPES⟧</t>
        </is>
      </c>
    </row>
    <row r="47">
      <c r="B47" s="7" t="inlineStr">
        <is>
          <t>Field</t>
        </is>
      </c>
      <c r="C47" s="7" t="inlineStr">
        <is>
          <t>Type</t>
        </is>
      </c>
    </row>
    <row r="48">
      <c r="B48" s="4" t="inlineStr">
        <is>
          <t>Year</t>
        </is>
      </c>
      <c r="C48" s="5" t="inlineStr">
        <is>
          <t>text</t>
        </is>
      </c>
    </row>
    <row r="49">
      <c r="B49" s="4" t="inlineStr">
        <is>
          <t>Premium</t>
        </is>
      </c>
      <c r="C49" s="5" t="inlineStr">
        <is>
          <t>number</t>
        </is>
      </c>
    </row>
    <row r="50">
      <c r="B50" s="4" t="inlineStr">
        <is>
          <t>Incurred Losses</t>
        </is>
      </c>
      <c r="C50" s="5" t="inlineStr">
        <is>
          <t>number</t>
        </is>
      </c>
    </row>
    <row r="51">
      <c r="B51" s="4" t="inlineStr">
        <is>
          <t>EPI</t>
        </is>
      </c>
      <c r="C51" s="5" t="inlineStr">
        <is>
          <t>number</t>
        </is>
      </c>
    </row>
    <row r="52">
      <c r="B52" s="4" t="inlineStr">
        <is>
          <t>Band</t>
        </is>
      </c>
      <c r="C52" s="5" t="inlineStr">
        <is>
          <t>text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Band from</t>
        </is>
      </c>
      <c r="C54" s="5" t="inlineStr">
        <is>
          <t>number</t>
        </is>
      </c>
    </row>
    <row r="55">
      <c r="B55" s="4" t="inlineStr">
        <is>
          <t>Band to</t>
        </is>
      </c>
      <c r="C55" s="5" t="inlineStr">
        <is>
          <t>number</t>
        </is>
      </c>
    </row>
    <row r="56">
      <c r="B56" s="4" t="inlineStr">
        <is>
          <t>Exposure</t>
        </is>
      </c>
      <c r="C56" s="5" t="inlineStr">
        <is>
          <t>number</t>
        </is>
      </c>
    </row>
    <row r="57">
      <c r="B57" s="4" t="inlineStr">
        <is>
          <t>Claim Reference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Name of Loss</t>
        </is>
      </c>
      <c r="C59" s="5" t="inlineStr">
        <is>
          <t>text</t>
        </is>
      </c>
    </row>
    <row r="60">
      <c r="B60" s="4" t="inlineStr">
        <is>
          <t>Event ID</t>
        </is>
      </c>
      <c r="C60" s="5" t="inlineStr">
        <is>
          <t>text</t>
        </is>
      </c>
    </row>
    <row r="61">
      <c r="B61" s="4" t="inlineStr">
        <is>
          <t>Loss amount</t>
        </is>
      </c>
      <c r="C61" s="5" t="inlineStr">
        <is>
          <t>number</t>
        </is>
      </c>
    </row>
    <row r="62">
      <c r="B62" s="4" t="inlineStr">
        <is>
          <t>Number of Claims</t>
        </is>
      </c>
      <c r="C62" s="5" t="inlineStr">
        <is>
          <t>number</t>
        </is>
      </c>
    </row>
    <row r="63">
      <c r="B63" s="4" t="inlineStr">
        <is>
          <t>Date of Loss</t>
        </is>
      </c>
      <c r="C63" s="5" t="inlineStr">
        <is>
          <t>date</t>
        </is>
      </c>
    </row>
    <row r="64">
      <c r="B64" s="4" t="inlineStr">
        <is>
          <t>Event Date</t>
        </is>
      </c>
      <c r="C64" s="5" t="inlineStr">
        <is>
          <t>date</t>
        </is>
      </c>
    </row>
    <row r="65">
      <c r="B65" s="4" t="inlineStr">
        <is>
          <t>Event End Date</t>
        </is>
      </c>
      <c r="C65" s="5" t="inlineStr">
        <is>
          <t>date</t>
        </is>
      </c>
    </row>
    <row r="67">
      <c r="B67" s="2" t="inlineStr">
        <is>
          <t>A field name carries one type across the whole workbook. Year is text because 2026 and '2026 9 months' are two records.</t>
        </is>
      </c>
    </row>
    <row r="69">
      <c r="B69" s="3" t="inlineStr">
        <is>
          <t>⟦VOCABULARY⟧</t>
        </is>
      </c>
    </row>
    <row r="70">
      <c r="B70" s="7" t="inlineStr">
        <is>
          <t>Attribute</t>
        </is>
      </c>
      <c r="C70" s="7" t="inlineStr">
        <is>
          <t>Permitted values</t>
        </is>
      </c>
    </row>
    <row r="71">
      <c r="B71" s="4" t="inlineStr">
        <is>
          <t>Year basis</t>
        </is>
      </c>
      <c r="C71" s="4" t="inlineStr">
        <is>
          <t>UW | Occurrence</t>
        </is>
      </c>
    </row>
    <row r="72">
      <c r="B72" s="4" t="inlineStr">
        <is>
          <t>Premium basis</t>
        </is>
      </c>
      <c r="C72" s="4" t="inlineStr">
        <is>
          <t>GWP | GNPI | Written | Earned | Signed</t>
        </is>
      </c>
    </row>
    <row r="73">
      <c r="B73" s="4" t="inlineStr">
        <is>
          <t>Loss basis</t>
        </is>
      </c>
      <c r="C73" s="4" t="inlineStr">
        <is>
          <t>Paid | Incurred</t>
        </is>
      </c>
    </row>
    <row r="74">
      <c r="B74" s="4" t="inlineStr">
        <is>
          <t>PF transfer</t>
        </is>
      </c>
      <c r="C74" s="4" t="inlineStr">
        <is>
          <t>with clean cut | without clean cut | none</t>
        </is>
      </c>
    </row>
    <row r="75">
      <c r="B75" s="4" t="inlineStr">
        <is>
          <t>Exposure basis</t>
        </is>
      </c>
      <c r="C75" s="4" t="inlineStr">
        <is>
          <t>Sum Insured | EML | PML | MPL</t>
        </is>
      </c>
    </row>
    <row r="76">
      <c r="B76" s="4" t="inlineStr">
        <is>
          <t>Includes fac</t>
        </is>
      </c>
      <c r="C76" s="4" t="inlineStr">
        <is>
          <t>yes | no</t>
        </is>
      </c>
    </row>
    <row r="77">
      <c r="B77" s="4" t="inlineStr">
        <is>
          <t>Layered business</t>
        </is>
      </c>
      <c r="C77" s="4" t="inlineStr">
        <is>
          <t>included | excluded</t>
        </is>
      </c>
    </row>
    <row r="78">
      <c r="B78" s="4" t="inlineStr">
        <is>
          <t>Scale</t>
        </is>
      </c>
      <c r="C78" s="4" t="inlineStr">
        <is>
          <t>1 | 1,000 | 1,000,000</t>
        </is>
      </c>
    </row>
    <row r="79">
      <c r="B79" s="4" t="inlineStr">
        <is>
          <t>Share basis</t>
        </is>
      </c>
      <c r="C79" s="4" t="inlineStr">
        <is>
          <t>100% | ceded only</t>
        </is>
      </c>
    </row>
    <row r="80">
      <c r="B80" s="4" t="inlineStr">
        <is>
          <t>Date format</t>
        </is>
      </c>
      <c r="C80" s="4" t="inlineStr">
        <is>
          <t>ISO | DD.MM.YYYY | MM/DD/YYYY</t>
        </is>
      </c>
    </row>
    <row r="81">
      <c r="B81" s="4" t="inlineStr">
        <is>
          <t>Occurrence year from</t>
        </is>
      </c>
      <c r="C81" s="4" t="inlineStr">
        <is>
          <t>Event Date | Event End Date</t>
        </is>
      </c>
    </row>
    <row r="82">
      <c r="B82" s="4" t="inlineStr">
        <is>
          <t>Currency</t>
        </is>
      </c>
      <c r="C82" s="4" t="inlineStr">
        <is>
          <t>ISO 4217</t>
        </is>
      </c>
    </row>
    <row r="85">
      <c r="B85" s="3" t="inlineStr">
        <is>
          <t>⟦PERIOD ORDER⟧</t>
        </is>
      </c>
    </row>
    <row r="86">
      <c r="B86" s="7" t="inlineStr">
        <is>
          <t>Rank</t>
        </is>
      </c>
      <c r="C86" s="7" t="inlineStr">
        <is>
          <t>Suffix</t>
        </is>
      </c>
    </row>
    <row r="87">
      <c r="B87" s="11" t="n">
        <v>1</v>
      </c>
      <c r="C87" s="5" t="inlineStr">
        <is>
          <t>est</t>
        </is>
      </c>
    </row>
    <row r="88">
      <c r="B88" s="11" t="n">
        <v>2</v>
      </c>
      <c r="C88" s="5" t="inlineStr">
        <is>
          <t>9 months</t>
        </is>
      </c>
    </row>
    <row r="89">
      <c r="B89" s="11" t="n">
        <v>3</v>
      </c>
      <c r="C89" s="5" t="inlineStr">
        <is>
          <t>re-est</t>
        </is>
      </c>
    </row>
    <row r="91">
      <c r="B91" s="2" t="inlineStr">
        <is>
          <t>Within one year the suffixes sort in this order, not alphabetically: est comes before 9 months even though '9' &lt; 'e'. A bare year sorts first; an unlisted suffix sorts last.</t>
        </is>
      </c>
    </row>
    <row r="93">
      <c r="B93" s="3" t="inlineStr">
        <is>
          <t>⟦RULES⟧</t>
        </is>
      </c>
    </row>
    <row r="94">
      <c r="B94" s="7" t="inlineStr">
        <is>
          <t>ID</t>
        </is>
      </c>
      <c r="C94" s="7" t="inlineStr">
        <is>
          <t>Left</t>
        </is>
      </c>
      <c r="D94" s="7" t="inlineStr">
        <is>
          <t>Rel</t>
        </is>
      </c>
      <c r="E94" s="7" t="inlineStr">
        <is>
          <t>Right</t>
        </is>
      </c>
      <c r="F94" s="7" t="inlineStr">
        <is>
          <t>Tolerance</t>
        </is>
      </c>
      <c r="G94" s="7" t="inlineStr">
        <is>
          <t>Severity</t>
        </is>
      </c>
      <c r="H94" s="7" t="inlineStr">
        <is>
          <t>Scope</t>
        </is>
      </c>
      <c r="I94" s="7" t="inlineStr">
        <is>
          <t>Note</t>
        </is>
      </c>
    </row>
    <row r="95">
      <c r="B95" s="7" t="inlineStr">
        <is>
          <t>R-05</t>
        </is>
      </c>
      <c r="C95" s="12" t="inlineStr">
        <is>
          <t>01 History.Premium@{N} 9 months</t>
        </is>
      </c>
      <c r="D95" s="7" t="inlineStr">
        <is>
          <t>=</t>
        </is>
      </c>
      <c r="E95" s="12" t="inlineStr">
        <is>
          <t>02 EPI.EPI@{N} 9 months</t>
        </is>
      </c>
      <c r="F95" s="4" t="n">
        <v>1</v>
      </c>
      <c r="G95" s="4" t="inlineStr">
        <is>
          <t>error</t>
        </is>
      </c>
      <c r="H95" s="5" t="inlineStr">
        <is>
          <t>all</t>
        </is>
      </c>
      <c r="I95" s="2" t="inlineStr">
        <is>
          <t>same nine months reported in two sheets</t>
        </is>
      </c>
    </row>
    <row r="96">
      <c r="B96" s="7" t="inlineStr">
        <is>
          <t>R-06</t>
        </is>
      </c>
      <c r="C96" s="12" t="inlineStr">
        <is>
          <t>01 History.Premium@{N}</t>
        </is>
      </c>
      <c r="D96" s="7" t="inlineStr">
        <is>
          <t>=</t>
        </is>
      </c>
      <c r="E96" s="12" t="inlineStr">
        <is>
          <t>02 EPI.EPI@{N} re-est</t>
        </is>
      </c>
      <c r="F96" s="4" t="n">
        <v>1</v>
      </c>
      <c r="G96" s="4" t="inlineStr">
        <is>
          <t>error</t>
        </is>
      </c>
      <c r="H96" s="5" t="inlineStr">
        <is>
          <t>all</t>
        </is>
      </c>
      <c r="I96" s="2" t="inlineStr">
        <is>
          <t>a full-year N in History is an estimate, not an actual</t>
        </is>
      </c>
    </row>
    <row r="97">
      <c r="B97" s="7" t="inlineStr">
        <is>
          <t>R-07</t>
        </is>
      </c>
      <c r="C97" s="12" t="inlineStr">
        <is>
          <t>02 EPI.EPI@{N} re-est</t>
        </is>
      </c>
      <c r="D97" s="7" t="inlineStr">
        <is>
          <t>&gt;=</t>
        </is>
      </c>
      <c r="E97" s="12" t="inlineStr">
        <is>
          <t>02 EPI.EPI@{N} 9 months</t>
        </is>
      </c>
      <c r="F97" s="4" t="n">
        <v>0</v>
      </c>
      <c r="G97" s="4" t="inlineStr">
        <is>
          <t>error</t>
        </is>
      </c>
      <c r="H97" s="5" t="inlineStr">
        <is>
          <t>all</t>
        </is>
      </c>
      <c r="I97" s="2" t="inlineStr">
        <is>
          <t>premium accrues; a re-estimate cannot fall below what is booked</t>
        </is>
      </c>
    </row>
    <row r="98">
      <c r="B98" s="7" t="inlineStr">
        <is>
          <t>R-01</t>
        </is>
      </c>
      <c r="C98" s="12" t="inlineStr">
        <is>
          <t>SUM(03 Large.Loss amount@{Y})</t>
        </is>
      </c>
      <c r="D98" s="7" t="inlineStr">
        <is>
          <t>&lt;=</t>
        </is>
      </c>
      <c r="E98" s="12" t="inlineStr">
        <is>
          <t>01 History.Incurred Losses@{Y}</t>
        </is>
      </c>
      <c r="F98" s="4" t="n">
        <v>1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large losses cannot exceed total incurred for the same year</t>
        </is>
      </c>
    </row>
    <row r="99">
      <c r="B99" s="7" t="inlineStr">
        <is>
          <t>R-09</t>
        </is>
      </c>
      <c r="C99" s="12" t="inlineStr">
        <is>
          <t>01 History.Year basis</t>
        </is>
      </c>
      <c r="D99" s="7" t="inlineStr">
        <is>
          <t>=</t>
        </is>
      </c>
      <c r="E99" s="12" t="inlineStr">
        <is>
          <t>03 Large.Year basis</t>
        </is>
      </c>
      <c r="F99" s="4" t="n">
        <v>0</v>
      </c>
      <c r="G99" s="4" t="inlineStr">
        <is>
          <t>error</t>
        </is>
      </c>
      <c r="H99" s="5" t="inlineStr">
        <is>
          <t>per risk</t>
        </is>
      </c>
      <c r="I99" s="2" t="inlineStr">
        <is>
          <t>history and large losses must be on the same year basis</t>
        </is>
      </c>
    </row>
    <row r="100">
      <c r="B100" s="7" t="inlineStr">
        <is>
          <t>R-02</t>
        </is>
      </c>
      <c r="C100" s="12" t="inlineStr">
        <is>
          <t>SUM(04 Cat.Loss amount@{Y})</t>
        </is>
      </c>
      <c r="D100" s="7" t="inlineStr">
        <is>
          <t>&lt;=</t>
        </is>
      </c>
      <c r="E100" s="12" t="inlineStr">
        <is>
          <t>01 History.Incurred Losses@{Y}</t>
        </is>
      </c>
      <c r="F100" s="4" t="n">
        <v>1</v>
      </c>
      <c r="G100" s="4" t="inlineStr">
        <is>
          <t>error</t>
        </is>
      </c>
      <c r="H100" s="5" t="inlineStr">
        <is>
          <t>cat</t>
        </is>
      </c>
      <c r="I100" s="2" t="inlineStr">
        <is>
          <t>cat losses cannot exceed total incurred for the same year</t>
        </is>
      </c>
    </row>
    <row r="101">
      <c r="B101" s="7" t="inlineStr">
        <is>
          <t>R-10</t>
        </is>
      </c>
      <c r="C101" s="12" t="inlineStr">
        <is>
          <t>01 History.Year basis</t>
        </is>
      </c>
      <c r="D101" s="7" t="inlineStr">
        <is>
          <t>=</t>
        </is>
      </c>
      <c r="E101" s="12" t="inlineStr">
        <is>
          <t>04 Cat.Year basis</t>
        </is>
      </c>
      <c r="F101" s="4" t="n">
        <v>0</v>
      </c>
      <c r="G101" s="4" t="inlineStr">
        <is>
          <t>error</t>
        </is>
      </c>
      <c r="H101" s="5" t="inlineStr">
        <is>
          <t>cat</t>
        </is>
      </c>
      <c r="I101" s="2" t="inlineStr">
        <is>
          <t>history and cat losses must be on the same year basis</t>
        </is>
      </c>
    </row>
    <row r="103">
      <c r="B103" s="2" t="inlineStr">
        <is>
          <t>Forms: &lt;key&gt;.&lt;field&gt;@&lt;record&gt; · &lt;key&gt;.&lt;attribute&gt; · SUM(&lt;key&gt;.&lt;field&gt;@&lt;record&gt;).  {N} resolves from ⟦GLOBAL⟧; {Y} expands the rule once per year. A rule is skipped, not guessed, when a basis or currency differs; it is 'not applicable' when the dataset is absent from this pack.</t>
        </is>
      </c>
    </row>
    <row r="105">
      <c r="B105" s="3" t="inlineStr">
        <is>
          <t>⟦MARKERS⟧  —  written in column A of every other sheet</t>
        </is>
      </c>
    </row>
    <row r="106">
      <c r="B106" s="7" t="inlineStr">
        <is>
          <t>Marker</t>
        </is>
      </c>
      <c r="C106" s="7" t="inlineStr">
        <is>
          <t>Meaning</t>
        </is>
      </c>
    </row>
    <row r="107">
      <c r="B107" s="13" t="inlineStr">
        <is>
          <t>Header_i</t>
        </is>
      </c>
      <c r="C107" s="4" t="inlineStr">
        <is>
          <t>row-wise: this row is block i's extraction row (declared labels only)</t>
        </is>
      </c>
    </row>
    <row r="108">
      <c r="B108" s="13" t="inlineStr">
        <is>
          <t>Header_i = &lt;col&gt;</t>
        </is>
      </c>
      <c r="C108" s="4" t="inlineStr">
        <is>
          <t>transposed: this column is block i's extraction column</t>
        </is>
      </c>
    </row>
    <row r="109">
      <c r="B109" s="13" t="inlineStr">
        <is>
          <t>Info_i = &lt;col&gt;</t>
        </is>
      </c>
      <c r="C109" s="4" t="inlineStr">
        <is>
          <t>row-wise: this column holds the record selectors, =ROW()</t>
        </is>
      </c>
    </row>
    <row r="110">
      <c r="B110" s="13" t="inlineStr">
        <is>
          <t>Info_i = &lt;row&gt;</t>
        </is>
      </c>
      <c r="C110" s="4" t="inlineStr">
        <is>
          <t>transposed: this row holds the record selectors, =COLUMN()</t>
        </is>
      </c>
    </row>
    <row r="111">
      <c r="B111" s="13" t="inlineStr">
        <is>
          <t>Transpose_i</t>
        </is>
      </c>
      <c r="C111" s="4" t="inlineStr">
        <is>
          <t>block i is transposed</t>
        </is>
      </c>
    </row>
    <row r="112">
      <c r="B112" s="13" t="inlineStr">
        <is>
          <t>Dataset_i = &lt;key&gt;</t>
        </is>
      </c>
      <c r="C112" s="4" t="inlineStr">
        <is>
          <t>which dataset block i is — defaults to the sheet-name match</t>
        </is>
      </c>
    </row>
    <row r="113">
      <c r="B113" s="13" t="inlineStr">
        <is>
          <t>Section_i = &lt;name&gt;</t>
        </is>
      </c>
      <c r="C113" s="4" t="inlineStr">
        <is>
          <t>which section of the treaty block i belongs to</t>
        </is>
      </c>
    </row>
    <row r="114">
      <c r="B114" s="13" t="inlineStr">
        <is>
          <t>&lt;Attribute&gt; = &lt;value&gt;</t>
        </is>
      </c>
      <c r="C114" s="4" t="inlineStr">
        <is>
          <t>an attribute of the sheet (unsuffixed) or block i (suffixed _i)</t>
        </is>
      </c>
    </row>
    <row r="115">
      <c r="B115" s="13" t="inlineStr">
        <is>
          <t>H_&lt;Attribute&gt; = &lt;val&gt;</t>
        </is>
      </c>
      <c r="C115" s="4" t="inlineStr">
        <is>
          <t>the same, declared as a hypothesis — raises a query</t>
        </is>
      </c>
    </row>
    <row r="117">
      <c r="B11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A1" s="14" t="inlineStr">
        <is>
          <t>Section = Fire</t>
        </is>
      </c>
      <c r="B1" s="1" t="inlineStr">
        <is>
          <t>01. History — row-wise reference block</t>
        </is>
      </c>
    </row>
    <row r="2">
      <c r="A2" s="14" t="inlineStr">
        <is>
          <t>Currency = USD</t>
        </is>
      </c>
      <c r="B2" s="7" t="inlineStr">
        <is>
          <t>Treaty XYZ — Property per Risk XL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4" t="inlineStr">
        <is>
          <t>Premium basis = GNPI</t>
        </is>
      </c>
    </row>
    <row r="6">
      <c r="A6" s="14" t="inlineStr">
        <is>
          <t>H_Loss basis = Incurred</t>
        </is>
      </c>
    </row>
    <row r="7">
      <c r="A7" s="14" t="inlineStr">
        <is>
          <t>Share basis = 100%</t>
        </is>
      </c>
      <c r="B7" s="15" t="inlineStr">
        <is>
          <t>UW Year</t>
        </is>
      </c>
      <c r="C7" s="15" t="inlineStr">
        <is>
          <t>Policies</t>
        </is>
      </c>
      <c r="D7" s="15" t="inlineStr">
        <is>
          <t>Prem.</t>
        </is>
      </c>
      <c r="E7" s="15" t="inlineStr">
        <is>
          <t>Comm. %</t>
        </is>
      </c>
      <c r="F7" s="15" t="inlineStr">
        <is>
          <t>Rate</t>
        </is>
      </c>
      <c r="G7" s="15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6" t="inlineStr">
        <is>
          <t>Header_1</t>
        </is>
      </c>
      <c r="B8" s="17" t="inlineStr">
        <is>
          <t>Year</t>
        </is>
      </c>
      <c r="D8" s="17" t="inlineStr">
        <is>
          <t>Premium</t>
        </is>
      </c>
      <c r="G8" s="17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1" t="n">
        <v>2021</v>
      </c>
      <c r="C9" s="18" t="n">
        <v>1240</v>
      </c>
      <c r="D9" s="18" t="n">
        <v>15900</v>
      </c>
      <c r="E9" s="19" t="n">
        <v>0.225</v>
      </c>
      <c r="F9" s="20" t="n">
        <v>1.02</v>
      </c>
      <c r="G9" s="18" t="n">
        <v>14930</v>
      </c>
      <c r="L9" s="21">
        <f>ROW()</f>
        <v>9</v>
      </c>
    </row>
    <row r="10">
      <c r="B10" s="11" t="n">
        <v>2022</v>
      </c>
      <c r="C10" s="18" t="n">
        <v>1310</v>
      </c>
      <c r="D10" s="18" t="n">
        <v>16740</v>
      </c>
      <c r="E10" s="19" t="n">
        <v>0.225</v>
      </c>
      <c r="F10" s="20" t="n">
        <v>1.04</v>
      </c>
      <c r="G10" s="18" t="n">
        <v>10030</v>
      </c>
      <c r="L10" s="21">
        <f>ROW()</f>
        <v>10</v>
      </c>
    </row>
    <row r="11">
      <c r="B11" s="11" t="n">
        <v>2023</v>
      </c>
      <c r="C11" s="18" t="n">
        <v>1395</v>
      </c>
      <c r="D11" s="18" t="n">
        <v>17520</v>
      </c>
      <c r="E11" s="19" t="n">
        <v>0.23</v>
      </c>
      <c r="F11" s="20" t="n">
        <v>1.06</v>
      </c>
      <c r="G11" s="18" t="n">
        <v>12660</v>
      </c>
      <c r="L11" s="21">
        <f>ROW()</f>
        <v>11</v>
      </c>
    </row>
    <row r="12">
      <c r="B12" s="11" t="n">
        <v>2024</v>
      </c>
      <c r="C12" s="18" t="n">
        <v>1460</v>
      </c>
      <c r="D12" s="18" t="n">
        <v>18390</v>
      </c>
      <c r="E12" s="19" t="n">
        <v>0.23</v>
      </c>
      <c r="F12" s="20" t="n">
        <v>1.03</v>
      </c>
      <c r="G12" s="18" t="n">
        <v>11700</v>
      </c>
      <c r="L12" s="21">
        <f>ROW()</f>
        <v>12</v>
      </c>
    </row>
    <row r="13">
      <c r="B13" s="11" t="n">
        <v>2025</v>
      </c>
      <c r="C13" s="18" t="n">
        <v>1505</v>
      </c>
      <c r="D13" s="18" t="n">
        <v>19200</v>
      </c>
      <c r="E13" s="19" t="n">
        <v>0.235</v>
      </c>
      <c r="F13" s="20" t="n">
        <v>1.05</v>
      </c>
      <c r="G13" s="18" t="n">
        <v>10250</v>
      </c>
      <c r="L13" s="21">
        <f>ROW()</f>
        <v>13</v>
      </c>
    </row>
    <row r="14">
      <c r="B14" s="22" t="inlineStr">
        <is>
          <t>2025 9 months</t>
        </is>
      </c>
      <c r="C14" s="18" t="n">
        <v>1180</v>
      </c>
      <c r="D14" s="18" t="n">
        <v>14400</v>
      </c>
      <c r="E14" s="19" t="n">
        <v>0.235</v>
      </c>
      <c r="F14" s="20" t="n">
        <v>1.05</v>
      </c>
      <c r="G14" s="18" t="n">
        <v>7100</v>
      </c>
      <c r="L14" s="21">
        <f>ROW()</f>
        <v>14</v>
      </c>
    </row>
    <row r="15">
      <c r="A15" s="14" t="inlineStr">
        <is>
          <t>H_PF transfer = with clean cut</t>
        </is>
      </c>
      <c r="B15" s="7" t="inlineStr">
        <is>
          <t>Total</t>
        </is>
      </c>
      <c r="C15" s="23">
        <f>SUM(C9:C14)</f>
        <v>8090</v>
      </c>
      <c r="D15" s="23">
        <f>SUM(D9:D14)</f>
        <v>102150</v>
      </c>
      <c r="G15" s="23">
        <f>SUM(G9:G14)</f>
        <v>66670</v>
      </c>
      <c r="H15" s="2" t="inlineStr">
        <is>
          <t>← selector empty: excluded from extraction, reused as control</t>
        </is>
      </c>
    </row>
    <row r="17">
      <c r="A17" s="16" t="inlineStr">
        <is>
          <t>Info_1 = L</t>
        </is>
      </c>
    </row>
    <row r="18">
      <c r="A18" s="14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Section = Fire</t>
        </is>
      </c>
      <c r="B1" s="1" t="inlineStr">
        <is>
          <t>01. History — transposed reference block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6" t="inlineStr">
        <is>
          <t>Transpose_1</t>
        </is>
      </c>
    </row>
    <row r="6">
      <c r="A6" s="16" t="inlineStr">
        <is>
          <t>Header_1 = C</t>
        </is>
      </c>
    </row>
    <row r="7">
      <c r="A7" s="16" t="inlineStr">
        <is>
          <t>Info_1 = 16</t>
        </is>
      </c>
    </row>
    <row r="8">
      <c r="A8" s="14" t="inlineStr">
        <is>
          <t>Premium basis = GNPI</t>
        </is>
      </c>
      <c r="B8" s="15" t="inlineStr">
        <is>
          <t>UW Year</t>
        </is>
      </c>
      <c r="C8" s="17" t="inlineStr">
        <is>
          <t>Year</t>
        </is>
      </c>
      <c r="D8" s="11" t="n">
        <v>2021</v>
      </c>
      <c r="E8" s="11" t="n">
        <v>2022</v>
      </c>
      <c r="F8" s="11" t="n">
        <v>2023</v>
      </c>
      <c r="G8" s="11" t="n">
        <v>2024</v>
      </c>
      <c r="H8" s="11" t="n">
        <v>2025</v>
      </c>
      <c r="I8" s="22" t="inlineStr">
        <is>
          <t>2025 9 months</t>
        </is>
      </c>
      <c r="J8" s="7" t="inlineStr">
        <is>
          <t>Total</t>
        </is>
      </c>
    </row>
    <row r="9">
      <c r="A9" s="14" t="inlineStr">
        <is>
          <t>Share basis = 100%</t>
        </is>
      </c>
      <c r="B9" s="15" t="inlineStr">
        <is>
          <t>Policies</t>
        </is>
      </c>
      <c r="D9" s="18" t="n">
        <v>1240</v>
      </c>
      <c r="E9" s="18" t="n">
        <v>1310</v>
      </c>
      <c r="F9" s="18" t="n">
        <v>1395</v>
      </c>
      <c r="G9" s="18" t="n">
        <v>1460</v>
      </c>
      <c r="H9" s="18" t="n">
        <v>1505</v>
      </c>
      <c r="I9" s="18" t="n">
        <v>1180</v>
      </c>
      <c r="J9" s="23">
        <f>SUM(D9:I9)</f>
        <v>8090</v>
      </c>
    </row>
    <row r="10">
      <c r="A10" s="14" t="inlineStr">
        <is>
          <t>H_Loss basis = Incurred</t>
        </is>
      </c>
      <c r="B10" s="15" t="inlineStr">
        <is>
          <t>Prem.</t>
        </is>
      </c>
      <c r="C10" s="17" t="inlineStr">
        <is>
          <t>Premium</t>
        </is>
      </c>
      <c r="D10" s="18" t="n">
        <v>15900</v>
      </c>
      <c r="E10" s="18" t="n">
        <v>16740</v>
      </c>
      <c r="F10" s="18" t="n">
        <v>17520</v>
      </c>
      <c r="G10" s="18" t="n">
        <v>18390</v>
      </c>
      <c r="H10" s="18" t="n">
        <v>19200</v>
      </c>
      <c r="I10" s="18" t="n">
        <v>14400</v>
      </c>
      <c r="J10" s="23">
        <f>SUM(D10:I10)</f>
        <v>102150</v>
      </c>
    </row>
    <row r="11">
      <c r="B11" s="15" t="inlineStr">
        <is>
          <t>Comm. %</t>
        </is>
      </c>
      <c r="D11" s="19" t="n">
        <v>0.225</v>
      </c>
      <c r="E11" s="19" t="n">
        <v>0.225</v>
      </c>
      <c r="F11" s="19" t="n">
        <v>0.23</v>
      </c>
      <c r="G11" s="19" t="n">
        <v>0.23</v>
      </c>
      <c r="H11" s="19" t="n">
        <v>0.235</v>
      </c>
      <c r="I11" s="19" t="n">
        <v>0.235</v>
      </c>
    </row>
    <row r="12">
      <c r="B12" s="15" t="inlineStr">
        <is>
          <t>Rate</t>
        </is>
      </c>
      <c r="D12" s="20" t="n">
        <v>1.02</v>
      </c>
      <c r="E12" s="20" t="n">
        <v>1.04</v>
      </c>
      <c r="F12" s="20" t="n">
        <v>1.06</v>
      </c>
      <c r="G12" s="20" t="n">
        <v>1.03</v>
      </c>
      <c r="H12" s="20" t="n">
        <v>1.05</v>
      </c>
      <c r="I12" s="20" t="n">
        <v>1.05</v>
      </c>
    </row>
    <row r="13">
      <c r="A13" s="14" t="inlineStr">
        <is>
          <t>H_PF transfer = with clean cut</t>
        </is>
      </c>
      <c r="B13" s="15" t="inlineStr">
        <is>
          <t>Incurred</t>
        </is>
      </c>
      <c r="C13" s="17" t="inlineStr">
        <is>
          <t>Incurred Losses</t>
        </is>
      </c>
      <c r="D13" s="18" t="n">
        <v>14930</v>
      </c>
      <c r="E13" s="18" t="n">
        <v>10030</v>
      </c>
      <c r="F13" s="18" t="n">
        <v>12660</v>
      </c>
      <c r="G13" s="18" t="n">
        <v>11700</v>
      </c>
      <c r="H13" s="18" t="n">
        <v>10250</v>
      </c>
      <c r="I13" s="18" t="n">
        <v>7100</v>
      </c>
      <c r="J13" s="23">
        <f>SUM(D13:I13)</f>
        <v>66670</v>
      </c>
    </row>
    <row r="16">
      <c r="A16" s="14" t="inlineStr">
        <is>
          <t>As at = 31.12.2025</t>
        </is>
      </c>
      <c r="C16" s="2" t="inlineStr">
        <is>
          <t>selector →</t>
        </is>
      </c>
      <c r="D16" s="21">
        <f>COLUMN()</f>
        <v>4</v>
      </c>
      <c r="E16" s="21">
        <f>COLUMN()</f>
        <v>5</v>
      </c>
      <c r="F16" s="21">
        <f>COLUMN()</f>
        <v>6</v>
      </c>
      <c r="G16" s="21">
        <f>COLUMN()</f>
        <v>7</v>
      </c>
      <c r="H16" s="21">
        <f>COLUMN()</f>
        <v>8</v>
      </c>
      <c r="I16" s="21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A1" s="14" t="inlineStr">
        <is>
          <t>Section = Fire</t>
        </is>
      </c>
      <c r="B1" s="1" t="inlineStr">
        <is>
          <t>02. EPI Projections — premium projections for N and N+1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4" t="inlineStr">
        <is>
          <t>H_Year basis = UW</t>
        </is>
      </c>
    </row>
    <row r="6">
      <c r="A6" s="14" t="inlineStr">
        <is>
          <t>Share basis = 100%</t>
        </is>
      </c>
    </row>
    <row r="7">
      <c r="B7" s="15" t="inlineStr">
        <is>
          <t>Period</t>
        </is>
      </c>
      <c r="C7" s="15" t="inlineStr">
        <is>
          <t>EPI (net)</t>
        </is>
      </c>
      <c r="D7" s="15" t="inlineStr">
        <is>
          <t>Share %</t>
        </is>
      </c>
      <c r="E7" s="15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6" t="inlineStr">
        <is>
          <t>Header_1</t>
        </is>
      </c>
      <c r="B8" s="17" t="inlineStr">
        <is>
          <t>Year</t>
        </is>
      </c>
      <c r="C8" s="17" t="inlineStr">
        <is>
          <t>EPI</t>
        </is>
      </c>
      <c r="F8" s="2" t="inlineStr">
        <is>
          <t>← extraction row: Share % and Comment are not declared in 00</t>
        </is>
      </c>
    </row>
    <row r="9">
      <c r="B9" s="22" t="inlineStr">
        <is>
          <t>2025 est</t>
        </is>
      </c>
      <c r="C9" s="18" t="n">
        <v>18500</v>
      </c>
      <c r="D9" s="24" t="n">
        <v>1</v>
      </c>
      <c r="E9" s="2" t="inlineStr">
        <is>
          <t>as advised at last renewal</t>
        </is>
      </c>
      <c r="K9" s="21">
        <f>ROW()</f>
        <v>9</v>
      </c>
    </row>
    <row r="10">
      <c r="B10" s="22" t="inlineStr">
        <is>
          <t>2025 9 months</t>
        </is>
      </c>
      <c r="C10" s="18" t="n">
        <v>14400</v>
      </c>
      <c r="D10" s="24" t="n">
        <v>0.75</v>
      </c>
      <c r="E10" s="2" t="inlineStr">
        <is>
          <t>booked to 30.09</t>
        </is>
      </c>
      <c r="K10" s="21">
        <f>ROW()</f>
        <v>10</v>
      </c>
    </row>
    <row r="11">
      <c r="B11" s="22" t="inlineStr">
        <is>
          <t>2025 re-est</t>
        </is>
      </c>
      <c r="C11" s="18" t="n">
        <v>19200</v>
      </c>
      <c r="D11" s="24" t="n">
        <v>1</v>
      </c>
      <c r="E11" s="2" t="inlineStr">
        <is>
          <t>current view</t>
        </is>
      </c>
      <c r="K11" s="21">
        <f>ROW()</f>
        <v>11</v>
      </c>
    </row>
    <row r="12">
      <c r="B12" s="22" t="inlineStr">
        <is>
          <t>2026</t>
        </is>
      </c>
      <c r="C12" s="18" t="n">
        <v>20900</v>
      </c>
      <c r="D12" s="24" t="n">
        <v>1</v>
      </c>
      <c r="E12" s="2" t="inlineStr">
        <is>
          <t>renewal projection</t>
        </is>
      </c>
      <c r="K12" s="21">
        <f>ROW()</f>
        <v>12</v>
      </c>
    </row>
    <row r="13">
      <c r="B13" s="22" t="inlineStr">
        <is>
          <t>2024 actual</t>
        </is>
      </c>
      <c r="C13" s="18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6" t="inlineStr">
        <is>
          <t>Info_1 = K</t>
        </is>
      </c>
    </row>
    <row r="16">
      <c r="A16" s="14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4" t="inlineStr">
        <is>
          <t>Section = Fire</t>
        </is>
      </c>
      <c r="B1" s="1" t="inlineStr">
        <is>
          <t>02. EPI Projections — transposed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6" t="inlineStr">
        <is>
          <t>Transpose_1</t>
        </is>
      </c>
    </row>
    <row r="6">
      <c r="A6" s="16" t="inlineStr">
        <is>
          <t>Header_1 = C</t>
        </is>
      </c>
    </row>
    <row r="7">
      <c r="A7" s="16" t="inlineStr">
        <is>
          <t>Info_1 = 14</t>
        </is>
      </c>
    </row>
    <row r="8">
      <c r="A8" s="14" t="inlineStr">
        <is>
          <t>H_Year basis = UW</t>
        </is>
      </c>
      <c r="B8" s="15" t="inlineStr">
        <is>
          <t>Period</t>
        </is>
      </c>
      <c r="C8" s="17" t="inlineStr">
        <is>
          <t>Year</t>
        </is>
      </c>
      <c r="D8" s="22" t="inlineStr">
        <is>
          <t>2025 est</t>
        </is>
      </c>
      <c r="E8" s="22" t="inlineStr">
        <is>
          <t>2025 9 months</t>
        </is>
      </c>
      <c r="F8" s="22" t="inlineStr">
        <is>
          <t>2025 re-est</t>
        </is>
      </c>
      <c r="G8" s="22" t="inlineStr">
        <is>
          <t>2026</t>
        </is>
      </c>
      <c r="H8" s="22" t="inlineStr">
        <is>
          <t>2024 actual</t>
        </is>
      </c>
    </row>
    <row r="9">
      <c r="A9" s="14" t="inlineStr">
        <is>
          <t>Share basis = 100%</t>
        </is>
      </c>
      <c r="B9" s="15" t="inlineStr">
        <is>
          <t>Share %</t>
        </is>
      </c>
      <c r="D9" s="24" t="n">
        <v>1</v>
      </c>
      <c r="E9" s="24" t="n">
        <v>0.75</v>
      </c>
      <c r="F9" s="24" t="n">
        <v>1</v>
      </c>
      <c r="G9" s="24" t="n">
        <v>1</v>
      </c>
      <c r="H9" s="24" t="n">
        <v>1</v>
      </c>
    </row>
    <row r="10">
      <c r="A10" s="14" t="inlineStr">
        <is>
          <t>As at = 31.12.2025</t>
        </is>
      </c>
      <c r="B10" s="15" t="inlineStr">
        <is>
          <t>EPI (net)</t>
        </is>
      </c>
      <c r="C10" s="17" t="inlineStr">
        <is>
          <t>EPI</t>
        </is>
      </c>
      <c r="D10" s="18" t="n">
        <v>18500</v>
      </c>
      <c r="E10" s="18" t="n">
        <v>14400</v>
      </c>
      <c r="F10" s="18" t="n">
        <v>19200</v>
      </c>
      <c r="G10" s="18" t="n">
        <v>20900</v>
      </c>
      <c r="H10" s="18" t="n">
        <v>17800</v>
      </c>
    </row>
    <row r="11">
      <c r="B11" s="15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21">
        <f>COLUMN()</f>
        <v>4</v>
      </c>
      <c r="E14" s="21">
        <f>COLUMN()</f>
        <v>5</v>
      </c>
      <c r="F14" s="21">
        <f>COLUMN()</f>
        <v>6</v>
      </c>
      <c r="G14" s="21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A1" s="14" t="inlineStr">
        <is>
          <t>Section = Fire</t>
        </is>
      </c>
      <c r="B1" s="1" t="inlineStr">
        <is>
          <t>03. Large Losses — individual claims above the threshold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H_Loss basis = Incurred</t>
        </is>
      </c>
    </row>
    <row r="7">
      <c r="A7" s="14" t="inlineStr">
        <is>
          <t>Threshold = 500</t>
        </is>
      </c>
    </row>
    <row r="8">
      <c r="A8" s="14" t="inlineStr">
        <is>
          <t>Date format = ISO</t>
        </is>
      </c>
    </row>
    <row r="9">
      <c r="B9" s="15" t="inlineStr">
        <is>
          <t>Claim no.</t>
        </is>
      </c>
      <c r="C9" s="15" t="inlineStr">
        <is>
          <t>U/W Yr</t>
        </is>
      </c>
      <c r="D9" s="15" t="inlineStr">
        <is>
          <t>Description</t>
        </is>
      </c>
      <c r="E9" s="15" t="inlineStr">
        <is>
          <t>Gross incurred</t>
        </is>
      </c>
      <c r="F9" s="15" t="inlineStr">
        <is>
          <t>Occurred</t>
        </is>
      </c>
      <c r="G9" s="2" t="inlineStr">
        <is>
          <t>← source header, never read</t>
        </is>
      </c>
    </row>
    <row r="10">
      <c r="A10" s="16" t="inlineStr">
        <is>
          <t>Header_1</t>
        </is>
      </c>
      <c r="C10" s="17" t="inlineStr">
        <is>
          <t>Year</t>
        </is>
      </c>
      <c r="D10" s="17" t="inlineStr">
        <is>
          <t>Name of Loss</t>
        </is>
      </c>
      <c r="E10" s="17" t="inlineStr">
        <is>
          <t>Loss amount</t>
        </is>
      </c>
      <c r="F10" s="17" t="inlineStr">
        <is>
          <t>Date of Loss</t>
        </is>
      </c>
      <c r="G10" s="2" t="inlineStr">
        <is>
          <t>← extraction row: the claim number is not declared in 00</t>
        </is>
      </c>
    </row>
    <row r="11">
      <c r="B11" s="4" t="inlineStr">
        <is>
          <t>CL-2100</t>
        </is>
      </c>
      <c r="C11" s="22" t="inlineStr">
        <is>
          <t>2021</t>
        </is>
      </c>
      <c r="D11" s="4" t="inlineStr">
        <is>
          <t>Warehouse fire, Lyon</t>
        </is>
      </c>
      <c r="E11" s="18" t="n">
        <v>1850</v>
      </c>
      <c r="F11" s="25" t="n">
        <v>44269</v>
      </c>
      <c r="J11" s="21">
        <f>ROW()</f>
        <v>11</v>
      </c>
    </row>
    <row r="12">
      <c r="B12" s="4" t="inlineStr">
        <is>
          <t>CL-2101</t>
        </is>
      </c>
      <c r="C12" s="22" t="inlineStr">
        <is>
          <t>2021</t>
        </is>
      </c>
      <c r="D12" s="4" t="inlineStr">
        <is>
          <t>Machinery breakdown, Hamburg</t>
        </is>
      </c>
      <c r="E12" s="18" t="n">
        <v>920</v>
      </c>
      <c r="F12" s="25" t="n">
        <v>44441</v>
      </c>
      <c r="J12" s="21">
        <f>ROW()</f>
        <v>12</v>
      </c>
    </row>
    <row r="13">
      <c r="B13" s="4" t="inlineStr">
        <is>
          <t>CL-2102</t>
        </is>
      </c>
      <c r="C13" s="22" t="inlineStr">
        <is>
          <t>2023</t>
        </is>
      </c>
      <c r="D13" s="4" t="inlineStr">
        <is>
          <t>Factory fire, Rotterdam</t>
        </is>
      </c>
      <c r="E13" s="18" t="n">
        <v>3400</v>
      </c>
      <c r="F13" s="25" t="n">
        <v>44953</v>
      </c>
      <c r="J13" s="21">
        <f>ROW()</f>
        <v>13</v>
      </c>
    </row>
    <row r="14">
      <c r="B14" s="4" t="inlineStr">
        <is>
          <t>CL-2103</t>
        </is>
      </c>
      <c r="C14" s="22" t="inlineStr">
        <is>
          <t>2023</t>
        </is>
      </c>
      <c r="D14" s="4" t="inlineStr">
        <is>
          <t>Explosion, Antwerp</t>
        </is>
      </c>
      <c r="E14" s="18" t="n">
        <v>1150</v>
      </c>
      <c r="F14" s="25" t="n">
        <v>45092</v>
      </c>
      <c r="J14" s="21">
        <f>ROW()</f>
        <v>14</v>
      </c>
    </row>
    <row r="15">
      <c r="B15" s="4" t="inlineStr">
        <is>
          <t>CL-2104</t>
        </is>
      </c>
      <c r="C15" s="22" t="inlineStr">
        <is>
          <t>2023</t>
        </is>
      </c>
      <c r="D15" s="4" t="inlineStr">
        <is>
          <t>Storm damage, Bremen</t>
        </is>
      </c>
      <c r="E15" s="18" t="n">
        <v>780</v>
      </c>
      <c r="F15" s="25" t="n">
        <v>45238</v>
      </c>
      <c r="J15" s="21">
        <f>ROW()</f>
        <v>15</v>
      </c>
    </row>
    <row r="16">
      <c r="B16" s="4" t="inlineStr">
        <is>
          <t>CL-2105</t>
        </is>
      </c>
      <c r="C16" s="22" t="inlineStr">
        <is>
          <t>2024</t>
        </is>
      </c>
      <c r="D16" s="4" t="inlineStr">
        <is>
          <t>Chemical plant fire, Basel</t>
        </is>
      </c>
      <c r="E16" s="18" t="n">
        <v>2600</v>
      </c>
      <c r="F16" s="25" t="n">
        <v>45431</v>
      </c>
      <c r="J16" s="21">
        <f>ROW()</f>
        <v>16</v>
      </c>
    </row>
    <row r="17">
      <c r="B17" s="4" t="inlineStr">
        <is>
          <t>CL-2106</t>
        </is>
      </c>
      <c r="C17" s="22" t="inlineStr">
        <is>
          <t>2025</t>
        </is>
      </c>
      <c r="D17" s="4" t="inlineStr">
        <is>
          <t>Cold store collapse, Milan</t>
        </is>
      </c>
      <c r="E17" s="18" t="n">
        <v>1420</v>
      </c>
      <c r="F17" s="25" t="n">
        <v>45699</v>
      </c>
      <c r="J17" s="21">
        <f>ROW()</f>
        <v>17</v>
      </c>
    </row>
    <row r="18">
      <c r="B18" s="4" t="inlineStr">
        <is>
          <t>CL-2107</t>
        </is>
      </c>
      <c r="C18" s="22" t="inlineStr">
        <is>
          <t>2025</t>
        </is>
      </c>
      <c r="D18" s="4" t="inlineStr">
        <is>
          <t>Transformer fire, Porto</t>
        </is>
      </c>
      <c r="E18" s="18" t="n">
        <v>640</v>
      </c>
      <c r="F18" s="25" t="n">
        <v>45892</v>
      </c>
      <c r="J18" s="21">
        <f>ROW()</f>
        <v>18</v>
      </c>
    </row>
    <row r="19">
      <c r="C19" s="7" t="inlineStr">
        <is>
          <t>Total</t>
        </is>
      </c>
      <c r="E19" s="23">
        <f>SUM(E11:E18)</f>
        <v>12760</v>
      </c>
      <c r="G19" s="2" t="inlineStr">
        <is>
          <t>← selector empty: excluded, reused as control</t>
        </is>
      </c>
    </row>
    <row r="21">
      <c r="A21" s="16" t="inlineStr">
        <is>
          <t>Info_1 = J</t>
        </is>
      </c>
    </row>
    <row r="22">
      <c r="A22" s="14" t="inlineStr">
        <is>
          <t>As at = 31.12.2025</t>
        </is>
      </c>
    </row>
    <row r="24">
      <c r="B24" s="2" t="inlineStr">
        <is>
          <t>2022 has no large loss. The annual table in step 2 shows it as 0, because an absent year reads as 'no data' rather than 'nothing happened'.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52" customWidth="1" min="8" max="8"/>
    <col width="10" customWidth="1" min="10" max="10"/>
  </cols>
  <sheetData>
    <row r="1">
      <c r="B1" s="1" t="inlineStr">
        <is>
          <t>05. Risk Profiles — Fire, as at 30.09.2025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Exposure basis = Sum Insured</t>
        </is>
      </c>
    </row>
    <row r="7">
      <c r="A7" s="14" t="inlineStr">
        <is>
          <t>Includes fac = yes</t>
        </is>
      </c>
    </row>
    <row r="8">
      <c r="A8" s="14" t="inlineStr">
        <is>
          <t>Layered business = excluded</t>
        </is>
      </c>
    </row>
    <row r="9">
      <c r="B9" s="15" t="inlineStr">
        <is>
          <t>Band</t>
        </is>
      </c>
      <c r="C9" s="15" t="inlineStr">
        <is>
          <t>From</t>
        </is>
      </c>
      <c r="D9" s="15" t="inlineStr">
        <is>
          <t>To</t>
        </is>
      </c>
      <c r="E9" s="15" t="inlineStr">
        <is>
          <t>Premium</t>
        </is>
      </c>
      <c r="F9" s="15" t="inlineStr">
        <is>
          <t>Risks</t>
        </is>
      </c>
      <c r="G9" s="15" t="inlineStr">
        <is>
          <t>Sum insured</t>
        </is>
      </c>
      <c r="H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Band</t>
        </is>
      </c>
      <c r="C10" s="17" t="inlineStr">
        <is>
          <t>Band from</t>
        </is>
      </c>
      <c r="D10" s="17" t="inlineStr">
        <is>
          <t>Band to</t>
        </is>
      </c>
      <c r="E10" s="17" t="inlineStr">
        <is>
          <t>Premium</t>
        </is>
      </c>
      <c r="F10" s="17" t="inlineStr">
        <is>
          <t>Number of Risks</t>
        </is>
      </c>
      <c r="G10" s="17" t="inlineStr">
        <is>
          <t>Exposure</t>
        </is>
      </c>
      <c r="H10" s="2" t="inlineStr">
        <is>
          <t>← extraction row: the bounds are declared, so nothing is read off the label</t>
        </is>
      </c>
    </row>
    <row r="11">
      <c r="B11" s="4" t="inlineStr">
        <is>
          <t>0 - 1 000</t>
        </is>
      </c>
      <c r="C11" s="18" t="n">
        <v>0</v>
      </c>
      <c r="D11" s="18" t="n">
        <v>1000</v>
      </c>
      <c r="E11" s="18" t="n">
        <v>2150</v>
      </c>
      <c r="F11" s="18" t="n">
        <v>620</v>
      </c>
      <c r="G11" s="18" t="n">
        <v>310000</v>
      </c>
      <c r="J11" s="21">
        <f>ROW()</f>
        <v>11</v>
      </c>
    </row>
    <row r="12">
      <c r="B12" s="4" t="inlineStr">
        <is>
          <t>1 001 - 5 000</t>
        </is>
      </c>
      <c r="C12" s="18" t="n">
        <v>1001</v>
      </c>
      <c r="D12" s="18" t="n">
        <v>5000</v>
      </c>
      <c r="E12" s="18" t="n">
        <v>4900</v>
      </c>
      <c r="F12" s="18" t="n">
        <v>480</v>
      </c>
      <c r="G12" s="18" t="n">
        <v>1290000</v>
      </c>
      <c r="J12" s="21">
        <f>ROW()</f>
        <v>12</v>
      </c>
    </row>
    <row r="13">
      <c r="B13" s="4" t="inlineStr">
        <is>
          <t>5 001 - 10 000</t>
        </is>
      </c>
      <c r="C13" s="18" t="n">
        <v>5001</v>
      </c>
      <c r="D13" s="18" t="n">
        <v>10000</v>
      </c>
      <c r="E13" s="18" t="n">
        <v>5300</v>
      </c>
      <c r="F13" s="18" t="n">
        <v>260</v>
      </c>
      <c r="G13" s="18" t="n">
        <v>1880000</v>
      </c>
      <c r="J13" s="21">
        <f>ROW()</f>
        <v>13</v>
      </c>
    </row>
    <row r="14">
      <c r="B14" s="4" t="inlineStr">
        <is>
          <t>10 001 - 25 000</t>
        </is>
      </c>
      <c r="C14" s="18" t="n">
        <v>10001</v>
      </c>
      <c r="D14" s="18" t="n">
        <v>25000</v>
      </c>
      <c r="E14" s="18" t="n">
        <v>4700</v>
      </c>
      <c r="F14" s="18" t="n">
        <v>118</v>
      </c>
      <c r="G14" s="18" t="n">
        <v>2010000</v>
      </c>
      <c r="J14" s="21">
        <f>ROW()</f>
        <v>14</v>
      </c>
    </row>
    <row r="15">
      <c r="B15" s="4" t="inlineStr">
        <is>
          <t>&gt; 25 000</t>
        </is>
      </c>
      <c r="C15" s="18" t="n">
        <v>25000</v>
      </c>
      <c r="D15" s="15" t="inlineStr">
        <is>
          <t>open</t>
        </is>
      </c>
      <c r="E15" s="18" t="n">
        <v>3100</v>
      </c>
      <c r="F15" s="18" t="n">
        <v>27</v>
      </c>
      <c r="G15" s="18" t="n">
        <v>1140000</v>
      </c>
      <c r="J15" s="21">
        <f>ROW()</f>
        <v>15</v>
      </c>
    </row>
    <row r="16">
      <c r="B16" s="7" t="inlineStr">
        <is>
          <t>Total</t>
        </is>
      </c>
      <c r="E16" s="23">
        <f>SUM(E11:E15)</f>
        <v>20150</v>
      </c>
      <c r="F16" s="23">
        <f>SUM(F11:F15)</f>
        <v>1505</v>
      </c>
      <c r="G16" s="23">
        <f>SUM(G11:G15)</f>
        <v>6630000</v>
      </c>
      <c r="H16" s="2" t="inlineStr">
        <is>
          <t>← selector empty: excluded, reused as control</t>
        </is>
      </c>
    </row>
    <row r="18">
      <c r="A18" s="16" t="inlineStr">
        <is>
          <t>Info_1 = J</t>
        </is>
      </c>
      <c r="B18" s="2" t="inlineStr">
        <is>
          <t>The top band is open at the top: its upper bound is absent, not zero. Bands are grouped with spaces, which is unambiguous; a comma-grouped label would be refused by the decimal rule.</t>
        </is>
      </c>
    </row>
    <row r="19">
      <c r="A19" s="14" t="inlineStr">
        <is>
          <t>As at = 30.09.2025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2026-08-20T21:31:45Z</dcterms:created>
  <dcterms:modified xsi:type="dcterms:W3CDTF">2026-08-20T21:31:45Z</dcterms:modified>
</cp:coreProperties>
</file>